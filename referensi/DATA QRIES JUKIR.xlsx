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9BE921B-7603-4B19-8A82-066CA8AD0B5E}" xr6:coauthVersionLast="47" xr6:coauthVersionMax="47" xr10:uidLastSave="{00000000-0000-0000-0000-000000000000}"/>
  <bookViews>
    <workbookView xWindow="-120" yWindow="-120" windowWidth="29040" windowHeight="15840" firstSheet="1" activeTab="12" xr2:uid="{D25D8AE3-8DA5-4A9D-B3D5-D08E3DF4263F}"/>
  </bookViews>
  <sheets>
    <sheet name="SINGAPRNA" sheetId="1" r:id="rId1"/>
    <sheet name="CIAWI" sheetId="2" r:id="rId2"/>
    <sheet name="MANNJAYA" sheetId="19" r:id="rId3"/>
    <sheet name="RAJAPOLAH" sheetId="4" r:id="rId4"/>
    <sheet name="CINEAM" sheetId="5" r:id="rId5"/>
    <sheet name="SKRJ" sheetId="6" r:id="rId6"/>
    <sheet name="KRGNGGL" sheetId="7" r:id="rId7"/>
    <sheet name="BTRKLG" sheetId="8" r:id="rId8"/>
    <sheet name="CPTJH" sheetId="9" r:id="rId9"/>
    <sheet name="CIKATOMAS" sheetId="10" r:id="rId10"/>
    <sheet name="TARAJU" sheetId="12" r:id="rId11"/>
    <sheet name="BJGGMBIR" sheetId="13" r:id="rId12"/>
    <sheet name="PUSPAHIANG" sheetId="14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8" i="19" l="1"/>
  <c r="E18" i="19"/>
  <c r="E18" i="2"/>
  <c r="E9" i="13"/>
  <c r="E11" i="12"/>
  <c r="E9" i="10"/>
  <c r="E11" i="14"/>
  <c r="E17" i="8"/>
  <c r="E14" i="7"/>
  <c r="E10" i="6"/>
  <c r="E10" i="5"/>
  <c r="E16" i="4"/>
  <c r="E48" i="1"/>
</calcChain>
</file>

<file path=xl/sharedStrings.xml><?xml version="1.0" encoding="utf-8"?>
<sst xmlns="http://schemas.openxmlformats.org/spreadsheetml/2006/main" count="478" uniqueCount="277">
  <si>
    <t>NO</t>
  </si>
  <si>
    <t>NAMA</t>
  </si>
  <si>
    <t>LOKASI</t>
  </si>
  <si>
    <t>JUMLAH</t>
  </si>
  <si>
    <t>HARI</t>
  </si>
  <si>
    <t>NIA KURNIAWAN</t>
  </si>
  <si>
    <t>TK Perak Egi P</t>
  </si>
  <si>
    <t>7</t>
  </si>
  <si>
    <t>RUSLAN A GANI</t>
  </si>
  <si>
    <t>TK Abang Ade</t>
  </si>
  <si>
    <t>CECE</t>
  </si>
  <si>
    <t>TK Pecah B Erna</t>
  </si>
  <si>
    <t>ADE IYO / UDIS</t>
  </si>
  <si>
    <t>JAJANG GUNAWAN</t>
  </si>
  <si>
    <t>Toko Sumerah</t>
  </si>
  <si>
    <t>HENDRI HILMAN R</t>
  </si>
  <si>
    <t>TATA SETIAWAN</t>
  </si>
  <si>
    <t>TK H Ade Sobandi</t>
  </si>
  <si>
    <t>ATEP GUSTIAWAN</t>
  </si>
  <si>
    <t>DUDUNG</t>
  </si>
  <si>
    <t>Toko Bogasari</t>
  </si>
  <si>
    <t>MAMAN S</t>
  </si>
  <si>
    <t>Toko Sederhana</t>
  </si>
  <si>
    <t>6</t>
  </si>
  <si>
    <t>HERI SUSANTO</t>
  </si>
  <si>
    <t>Eks Telkom</t>
  </si>
  <si>
    <t>YANA SURPIATNA</t>
  </si>
  <si>
    <t>AHMAD MUZAKIR</t>
  </si>
  <si>
    <t xml:space="preserve"> Pontiari Tekstil</t>
  </si>
  <si>
    <t>ONANG</t>
  </si>
  <si>
    <t>DENDEN P I</t>
  </si>
  <si>
    <t>TK Aneka Plastik</t>
  </si>
  <si>
    <t>DAYAT RIDWAN</t>
  </si>
  <si>
    <t>TK Nina / Hj. Piah</t>
  </si>
  <si>
    <t>POPO MUSTOPA</t>
  </si>
  <si>
    <t>Eriska Salon</t>
  </si>
  <si>
    <t>OPANG</t>
  </si>
  <si>
    <t>Wisma Dewi</t>
  </si>
  <si>
    <t>ATANG</t>
  </si>
  <si>
    <t>Alfmart Kudang</t>
  </si>
  <si>
    <t>KURNIA</t>
  </si>
  <si>
    <t>Baso Mas Gimin</t>
  </si>
  <si>
    <t>KURNIA HIDAYAT</t>
  </si>
  <si>
    <t>Mie Baso ANA</t>
  </si>
  <si>
    <t>UTUN</t>
  </si>
  <si>
    <t>Toko Mr. DIY</t>
  </si>
  <si>
    <t>YOGI PRAYOGA</t>
  </si>
  <si>
    <t>TK Buah A Mulyana</t>
  </si>
  <si>
    <t>NANDANG</t>
  </si>
  <si>
    <t>BRI Cintaraja</t>
  </si>
  <si>
    <t>YANA MULYANA</t>
  </si>
  <si>
    <t>TK Rio Singaparna</t>
  </si>
  <si>
    <t>5</t>
  </si>
  <si>
    <t>RUDIANA</t>
  </si>
  <si>
    <t>Mixue Dozer</t>
  </si>
  <si>
    <t>RONI KARTIWA</t>
  </si>
  <si>
    <t>Nusa Indah Kudang</t>
  </si>
  <si>
    <t>MUHAMAD DEDE</t>
  </si>
  <si>
    <t>BRI Singaparna</t>
  </si>
  <si>
    <t>UTUN SOBANDI</t>
  </si>
  <si>
    <t>BRI Unit MGRJ</t>
  </si>
  <si>
    <t>YAYAN KARYANA</t>
  </si>
  <si>
    <t>Rio Singaparna</t>
  </si>
  <si>
    <t>DENI ANDIKA</t>
  </si>
  <si>
    <t>Acecories Lingasari</t>
  </si>
  <si>
    <t>NANDANG S</t>
  </si>
  <si>
    <t>BJB Cabang Sgp</t>
  </si>
  <si>
    <t>DADANG H</t>
  </si>
  <si>
    <t>TK Baju A Sobandi</t>
  </si>
  <si>
    <t>ELON</t>
  </si>
  <si>
    <t>Toko Hj, Piah</t>
  </si>
  <si>
    <t>EFFENDY H</t>
  </si>
  <si>
    <t>Toko Hj. Piah</t>
  </si>
  <si>
    <t>Samsat Alun2 Sgp</t>
  </si>
  <si>
    <t>ABDUL BASIT</t>
  </si>
  <si>
    <t>Pasar Baru Sgp</t>
  </si>
  <si>
    <t>TATANG</t>
  </si>
  <si>
    <t>Toko Sumirah</t>
  </si>
  <si>
    <t>AJAT SUDRAJAT</t>
  </si>
  <si>
    <t>Toko Armada</t>
  </si>
  <si>
    <t>JAJAT SUPRIATNA</t>
  </si>
  <si>
    <t>Depan TOKOIKO</t>
  </si>
  <si>
    <t xml:space="preserve">       REALISASI SETORAN PARKIR SINGAPARNA 2026</t>
  </si>
  <si>
    <t>KETERANGAN</t>
  </si>
  <si>
    <t>REALISASI SETORAN PARKIR CIAWI 2026</t>
  </si>
  <si>
    <t>REELS</t>
  </si>
  <si>
    <t>CECEP T S</t>
  </si>
  <si>
    <t>IRMA Cell</t>
  </si>
  <si>
    <t>JOJO S</t>
  </si>
  <si>
    <t xml:space="preserve">Bank BRI </t>
  </si>
  <si>
    <t>ADE H</t>
  </si>
  <si>
    <t>Apotik Rizki</t>
  </si>
  <si>
    <t>JAJANG S</t>
  </si>
  <si>
    <t>Mie Baksa ALFI</t>
  </si>
  <si>
    <t>MEMET S</t>
  </si>
  <si>
    <t xml:space="preserve">Toko Perditek </t>
  </si>
  <si>
    <t>ADE KOSWARA</t>
  </si>
  <si>
    <t xml:space="preserve">Toko Alat Kue </t>
  </si>
  <si>
    <t>AEP S</t>
  </si>
  <si>
    <t>Bank BJB</t>
  </si>
  <si>
    <t>ISKANDAR Y</t>
  </si>
  <si>
    <t xml:space="preserve">Bank Mandiri </t>
  </si>
  <si>
    <t>WAWAN</t>
  </si>
  <si>
    <t>BANK BNI</t>
  </si>
  <si>
    <t>ARI RIDWAN</t>
  </si>
  <si>
    <t>JB Ciawi ( CFD )</t>
  </si>
  <si>
    <t xml:space="preserve">HIPPAS </t>
  </si>
  <si>
    <t>Pasar Ciawi</t>
  </si>
  <si>
    <t>KETERANAGAN</t>
  </si>
  <si>
    <t xml:space="preserve">REALISASI SETORAN PARKIR RAJAPOLAH </t>
  </si>
  <si>
    <t>SANTI FEBRIANTI</t>
  </si>
  <si>
    <t>Mie Baso Dul Rajapolah</t>
  </si>
  <si>
    <t>SUBRATA</t>
  </si>
  <si>
    <t>Bank BRI dan Mixue, Rajapolah</t>
  </si>
  <si>
    <t>2</t>
  </si>
  <si>
    <t>REGI</t>
  </si>
  <si>
    <t>Bank BJB dan Komplek Pasar Kerajinan Rajapolah</t>
  </si>
  <si>
    <t>YANTO</t>
  </si>
  <si>
    <t>Lazatto dan Mixue Rajapolah</t>
  </si>
  <si>
    <t>4</t>
  </si>
  <si>
    <t>HERI SUHERI</t>
  </si>
  <si>
    <t>ATM BNI Rajapolah</t>
  </si>
  <si>
    <t>ADE KURNIA</t>
  </si>
  <si>
    <t>Terminal Rajapolah samping Samsat</t>
  </si>
  <si>
    <t>ASEP TOHA</t>
  </si>
  <si>
    <t>Puskesmas Cisayong</t>
  </si>
  <si>
    <t>LALAN C</t>
  </si>
  <si>
    <t>Terminal Rajapolah depan warung kupat tahu s/d kios buah2an</t>
  </si>
  <si>
    <t>8</t>
  </si>
  <si>
    <t>HARUN Z</t>
  </si>
  <si>
    <t>Depan Toko Elita Elektronik / Mebel Abadi Rajapolah</t>
  </si>
  <si>
    <t>WAWAN DARMAWAN</t>
  </si>
  <si>
    <t>Pasar Salak Cineam</t>
  </si>
  <si>
    <t>EMPUD</t>
  </si>
  <si>
    <t xml:space="preserve">Toko Obat Enggal Waras dan Indomart </t>
  </si>
  <si>
    <t>DADAN KUSNANDAN</t>
  </si>
  <si>
    <t>Klinik Afiah Medika</t>
  </si>
  <si>
    <t>KARSO</t>
  </si>
  <si>
    <t xml:space="preserve">Toko Mas Martin </t>
  </si>
  <si>
    <t>REALISASI SETORAN PARKIR CINEAM</t>
  </si>
  <si>
    <t>REALISASI SETORAN PARKIR SUKARAJA 2026</t>
  </si>
  <si>
    <t>TGL                 SEPTEMBER 2026</t>
  </si>
  <si>
    <t>YEDI</t>
  </si>
  <si>
    <t xml:space="preserve">Bank BRI Sukapura </t>
  </si>
  <si>
    <t xml:space="preserve">AJAM </t>
  </si>
  <si>
    <t>Bank BJB Sukaraja</t>
  </si>
  <si>
    <t>FEBY</t>
  </si>
  <si>
    <t>Alun- alun Sukaraja</t>
  </si>
  <si>
    <t>REALISASI SETORAN PARKIR KARANGNUNGGAL 2026</t>
  </si>
  <si>
    <t>ANAH NURJANAH</t>
  </si>
  <si>
    <t>Toko Pelangi</t>
  </si>
  <si>
    <t>30</t>
  </si>
  <si>
    <t>Toko Ababil</t>
  </si>
  <si>
    <t>Toko Karang</t>
  </si>
  <si>
    <t>DEDE AHIDIN</t>
  </si>
  <si>
    <t>Toko Widia</t>
  </si>
  <si>
    <t>ENDANG</t>
  </si>
  <si>
    <t>Toko Nova</t>
  </si>
  <si>
    <t>RAHMAT H</t>
  </si>
  <si>
    <t>BRI Karang</t>
  </si>
  <si>
    <t>JUJU</t>
  </si>
  <si>
    <t>Terminal Karang</t>
  </si>
  <si>
    <t>DUDANG</t>
  </si>
  <si>
    <t>RM Geksor Karang</t>
  </si>
  <si>
    <t>REALISASI SETORAN PARKIR BANTARKALONG 2026</t>
  </si>
  <si>
    <t>NASIHIN</t>
  </si>
  <si>
    <t>BJB Simpang</t>
  </si>
  <si>
    <t>ADE HERMAWAN</t>
  </si>
  <si>
    <t>Bank Mandiri</t>
  </si>
  <si>
    <t>AAS MULYANA</t>
  </si>
  <si>
    <t>Termnl Simpang</t>
  </si>
  <si>
    <t>USMAN</t>
  </si>
  <si>
    <t>Toko Emas Barokah</t>
  </si>
  <si>
    <t>MA'SUM</t>
  </si>
  <si>
    <t>Toko Remaja</t>
  </si>
  <si>
    <t>SUPRIANTO</t>
  </si>
  <si>
    <t>Bantarkalong</t>
  </si>
  <si>
    <t>SUHARTO</t>
  </si>
  <si>
    <t>Apotek Barokah</t>
  </si>
  <si>
    <t>IYUS</t>
  </si>
  <si>
    <t>RIFAL</t>
  </si>
  <si>
    <t>Toko Cermat Putra</t>
  </si>
  <si>
    <t>KOMAR</t>
  </si>
  <si>
    <t>Toko Sayuran H. Udin</t>
  </si>
  <si>
    <t>REALISASI SETORAN PARKIRCIPATUJAH 2026</t>
  </si>
  <si>
    <t>DADAN S</t>
  </si>
  <si>
    <t>Dermaga Pamayang</t>
  </si>
  <si>
    <t>REALISASI SETORAN PARKIR CIKATOMAS 2026</t>
  </si>
  <si>
    <t xml:space="preserve">HENDI </t>
  </si>
  <si>
    <t>Pasar Baru Cktms</t>
  </si>
  <si>
    <t>UJANG SUHERMAN</t>
  </si>
  <si>
    <t>KETERTANGAN</t>
  </si>
  <si>
    <t>REALISASI SETORAN PARKIR TARAJU 2026</t>
  </si>
  <si>
    <t xml:space="preserve">Toko Kitab H Agus </t>
  </si>
  <si>
    <t>DADAN SOPANDI</t>
  </si>
  <si>
    <t>AHMAD MAKMUR</t>
  </si>
  <si>
    <t xml:space="preserve">Toko Emas Sinar AA </t>
  </si>
  <si>
    <t>ELAN SAHLAN</t>
  </si>
  <si>
    <t>OYO</t>
  </si>
  <si>
    <t>Pasar Baru Taraju</t>
  </si>
  <si>
    <t>REALISASI SETORAN PARKIR BOJONGGAMBIR 2026</t>
  </si>
  <si>
    <t>EMAN</t>
  </si>
  <si>
    <t>Alfamart Bojonggambir</t>
  </si>
  <si>
    <t>REALISASI SETORAN PARKIR PUSPAHIANG/ SALAWU 2025</t>
  </si>
  <si>
    <t>Pasar Puspahiang</t>
  </si>
  <si>
    <t>RM Kujang</t>
  </si>
  <si>
    <t>RM Ibu IMAS</t>
  </si>
  <si>
    <t>Kupat Tahu Mangunreja</t>
  </si>
  <si>
    <t>RUSMIN N</t>
  </si>
  <si>
    <t>HENDAR</t>
  </si>
  <si>
    <t>AJAT</t>
  </si>
  <si>
    <t>WAWAN  S</t>
  </si>
  <si>
    <t>Pasar  Bojonggambir</t>
  </si>
  <si>
    <t>TARGET/HARI</t>
  </si>
  <si>
    <t>SETOR TIAP SENIN</t>
  </si>
  <si>
    <t>RANI I PUTRI</t>
  </si>
  <si>
    <t>REALISASI SETORAN PARKIR MANONJAYA 2026</t>
  </si>
  <si>
    <t xml:space="preserve">PASAR KIDUL </t>
  </si>
  <si>
    <t>OMO</t>
  </si>
  <si>
    <t>Toko Sarijadi</t>
  </si>
  <si>
    <t xml:space="preserve">Toko Besi Alan </t>
  </si>
  <si>
    <t>AEP SAEPUDIN</t>
  </si>
  <si>
    <t>Toko Manfaat</t>
  </si>
  <si>
    <t xml:space="preserve">Toko Aris Bintang </t>
  </si>
  <si>
    <t>WAHYU</t>
  </si>
  <si>
    <t>Toko Harapan jaya</t>
  </si>
  <si>
    <t>Apotek Mitra Sehat/ Tk Beras</t>
  </si>
  <si>
    <t>RIAN / ASEP A</t>
  </si>
  <si>
    <t>Toko Kelontongan EMI</t>
  </si>
  <si>
    <t>Kios Sayuran</t>
  </si>
  <si>
    <t>Toko Alan</t>
  </si>
  <si>
    <t xml:space="preserve">      REALISASI SETORAN PARKIR MANONJAYA 2026</t>
  </si>
  <si>
    <t xml:space="preserve">PASAR KALER </t>
  </si>
  <si>
    <t>DEDEN H</t>
  </si>
  <si>
    <t>Bank BJB Manonjaya</t>
  </si>
  <si>
    <t>KILAB A</t>
  </si>
  <si>
    <t>Apotek Mitra Keluarga</t>
  </si>
  <si>
    <t>DEDE KASWAN</t>
  </si>
  <si>
    <t xml:space="preserve">Toko Ateng </t>
  </si>
  <si>
    <t>HENDI SUHENDI</t>
  </si>
  <si>
    <t>Toko Perak Mini Jaya</t>
  </si>
  <si>
    <t>ADE NURHIDAYAT</t>
  </si>
  <si>
    <t>IWAN HERMAWAN</t>
  </si>
  <si>
    <t xml:space="preserve">Toko H Agus </t>
  </si>
  <si>
    <t>AJAT S</t>
  </si>
  <si>
    <t xml:space="preserve">Toko Kelontong Revo </t>
  </si>
  <si>
    <t>RONI R</t>
  </si>
  <si>
    <t>DENI SONTANI</t>
  </si>
  <si>
    <t>AJANG HENDI</t>
  </si>
  <si>
    <t>IMAN M</t>
  </si>
  <si>
    <t>Toko Buana Mas</t>
  </si>
  <si>
    <t>UCU S</t>
  </si>
  <si>
    <t>Toko Emas Martini 1</t>
  </si>
  <si>
    <t>DIDIN HERDIN</t>
  </si>
  <si>
    <t>Apotek Jasa Medika</t>
  </si>
  <si>
    <t>RAHMAN S</t>
  </si>
  <si>
    <t>KUSDIANA</t>
  </si>
  <si>
    <t>Bank BRI Manonjaya</t>
  </si>
  <si>
    <t>ANGGA P</t>
  </si>
  <si>
    <t>DODI</t>
  </si>
  <si>
    <t>Mie ayam Bejo MNJ</t>
  </si>
  <si>
    <t>HENDI GINANJAR</t>
  </si>
  <si>
    <t>ASEP DENI C</t>
  </si>
  <si>
    <t>Toko Serba 35-Baso Masabar</t>
  </si>
  <si>
    <t xml:space="preserve"> YAYAT</t>
  </si>
  <si>
    <t xml:space="preserve">OPIK TAUFIK </t>
  </si>
  <si>
    <t>16</t>
  </si>
  <si>
    <t>DEVI ARISANDI</t>
  </si>
  <si>
    <t xml:space="preserve">NANA </t>
  </si>
  <si>
    <t xml:space="preserve">IYUS </t>
  </si>
  <si>
    <t>24</t>
  </si>
  <si>
    <t>ILHAM NURHIDAYAT</t>
  </si>
  <si>
    <t xml:space="preserve">YAYAT </t>
  </si>
  <si>
    <t>20</t>
  </si>
  <si>
    <t>DEDE R/JAJANG R</t>
  </si>
  <si>
    <t>DEDE S/DIDIN</t>
  </si>
  <si>
    <t>AMA TARMA/EGI ANGGANA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</si>
</sst>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6" formatCode="_-[$Rp-421]* #,##0_-;\-[$Rp-421]* #,##0_-;_-[$Rp-421]* &quot;-&quot;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2"/>
      <color indexed="8"/>
      <name val="Arial"/>
      <family val="2"/>
    </font>
    <font>
      <b/>
      <i/>
      <sz val="12"/>
      <color theme="1"/>
      <name val="Arial"/>
      <family val="2"/>
    </font>
    <font>
      <b/>
      <i/>
      <sz val="14"/>
      <color theme="1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798577837458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</cellStyleXfs>
  <cellXfs count="161">
    <xf numFmtId="0" fontId="0" fillId="0" borderId="0" xfId="0"/>
    <xf numFmtId="0" fontId="2" fillId="0" borderId="0" xfId="3" applyFont="1" applyAlignment="1">
      <alignment vertical="center"/>
    </xf>
    <xf numFmtId="0" fontId="3" fillId="0" borderId="0" xfId="3" applyFont="1"/>
    <xf numFmtId="0" fontId="4" fillId="0" borderId="0" xfId="3" applyFont="1"/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0" fontId="5" fillId="2" borderId="2" xfId="3" applyFont="1" applyFill="1" applyBorder="1" applyAlignment="1">
      <alignment horizontal="center" vertical="center"/>
    </xf>
    <xf numFmtId="0" fontId="5" fillId="2" borderId="2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/>
    </xf>
    <xf numFmtId="0" fontId="5" fillId="2" borderId="3" xfId="3" applyFont="1" applyFill="1" applyBorder="1" applyAlignment="1">
      <alignment horizontal="center" vertical="center"/>
    </xf>
    <xf numFmtId="0" fontId="5" fillId="2" borderId="2" xfId="3" applyFont="1" applyFill="1" applyBorder="1" applyAlignment="1">
      <alignment vertical="center"/>
    </xf>
    <xf numFmtId="0" fontId="8" fillId="2" borderId="4" xfId="3" applyFont="1" applyFill="1" applyBorder="1"/>
    <xf numFmtId="164" fontId="8" fillId="2" borderId="4" xfId="3" applyNumberFormat="1" applyFont="1" applyFill="1" applyBorder="1"/>
    <xf numFmtId="0" fontId="2" fillId="0" borderId="0" xfId="3" applyFont="1" applyAlignment="1">
      <alignment horizontal="left" vertical="center"/>
    </xf>
    <xf numFmtId="164" fontId="10" fillId="2" borderId="4" xfId="3" applyNumberFormat="1" applyFont="1" applyFill="1" applyBorder="1" applyAlignment="1">
      <alignment horizontal="left" vertical="center"/>
    </xf>
    <xf numFmtId="0" fontId="11" fillId="0" borderId="4" xfId="3" applyFont="1" applyBorder="1" applyAlignment="1">
      <alignment horizontal="center" vertical="center"/>
    </xf>
    <xf numFmtId="0" fontId="11" fillId="0" borderId="4" xfId="3" applyFont="1" applyBorder="1" applyAlignment="1">
      <alignment vertical="center"/>
    </xf>
    <xf numFmtId="164" fontId="11" fillId="0" borderId="4" xfId="4" quotePrefix="1" applyFont="1" applyBorder="1" applyAlignment="1">
      <alignment horizontal="center" vertical="center"/>
    </xf>
    <xf numFmtId="0" fontId="4" fillId="0" borderId="4" xfId="3" applyFont="1" applyBorder="1" applyAlignment="1">
      <alignment vertical="center"/>
    </xf>
    <xf numFmtId="164" fontId="4" fillId="0" borderId="4" xfId="4" quotePrefix="1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1" fontId="11" fillId="0" borderId="4" xfId="1" applyNumberFormat="1" applyFont="1" applyBorder="1" applyAlignment="1">
      <alignment horizontal="center" vertical="center"/>
    </xf>
    <xf numFmtId="1" fontId="4" fillId="0" borderId="4" xfId="1" applyNumberFormat="1" applyFont="1" applyBorder="1" applyAlignment="1">
      <alignment horizontal="center" vertical="center"/>
    </xf>
    <xf numFmtId="0" fontId="6" fillId="2" borderId="4" xfId="3" applyFont="1" applyFill="1" applyBorder="1" applyAlignment="1">
      <alignment horizontal="center" vertical="center"/>
    </xf>
    <xf numFmtId="0" fontId="0" fillId="0" borderId="4" xfId="0" applyBorder="1"/>
    <xf numFmtId="0" fontId="10" fillId="0" borderId="0" xfId="3" applyFont="1" applyAlignment="1">
      <alignment horizontal="center" vertical="center"/>
    </xf>
    <xf numFmtId="0" fontId="10" fillId="0" borderId="0" xfId="3" applyFont="1"/>
    <xf numFmtId="0" fontId="12" fillId="2" borderId="4" xfId="3" applyFont="1" applyFill="1" applyBorder="1" applyAlignment="1">
      <alignment horizontal="center" vertical="center"/>
    </xf>
    <xf numFmtId="0" fontId="12" fillId="2" borderId="4" xfId="3" applyFont="1" applyFill="1" applyBorder="1" applyAlignment="1">
      <alignment vertical="center"/>
    </xf>
    <xf numFmtId="0" fontId="13" fillId="2" borderId="4" xfId="3" applyFont="1" applyFill="1" applyBorder="1" applyAlignment="1">
      <alignment horizontal="center" vertical="center"/>
    </xf>
    <xf numFmtId="0" fontId="12" fillId="2" borderId="4" xfId="3" applyFont="1" applyFill="1" applyBorder="1" applyAlignment="1">
      <alignment horizontal="center" vertical="center"/>
    </xf>
    <xf numFmtId="0" fontId="8" fillId="0" borderId="4" xfId="5" applyFont="1" applyBorder="1" applyAlignment="1">
      <alignment horizontal="center" vertical="center"/>
    </xf>
    <xf numFmtId="0" fontId="7" fillId="0" borderId="4" xfId="5" applyFont="1" applyBorder="1" applyAlignment="1">
      <alignment vertical="center"/>
    </xf>
    <xf numFmtId="41" fontId="7" fillId="0" borderId="4" xfId="6" quotePrefix="1" applyFont="1" applyBorder="1" applyAlignment="1">
      <alignment horizontal="center" vertical="center"/>
    </xf>
    <xf numFmtId="41" fontId="7" fillId="0" borderId="4" xfId="6" applyFont="1" applyBorder="1" applyAlignment="1">
      <alignment vertical="center"/>
    </xf>
    <xf numFmtId="0" fontId="8" fillId="0" borderId="4" xfId="0" applyFont="1" applyBorder="1"/>
    <xf numFmtId="0" fontId="7" fillId="0" borderId="4" xfId="5" applyFont="1" applyBorder="1" applyAlignment="1">
      <alignment horizontal="center" vertical="center"/>
    </xf>
    <xf numFmtId="0" fontId="7" fillId="0" borderId="4" xfId="5" applyFont="1" applyBorder="1" applyAlignment="1">
      <alignment vertical="center" wrapText="1"/>
    </xf>
    <xf numFmtId="0" fontId="8" fillId="0" borderId="4" xfId="5" applyFont="1" applyBorder="1" applyAlignment="1">
      <alignment vertical="center" wrapText="1"/>
    </xf>
    <xf numFmtId="0" fontId="8" fillId="0" borderId="4" xfId="5" applyFont="1" applyBorder="1" applyAlignment="1">
      <alignment vertical="center"/>
    </xf>
    <xf numFmtId="41" fontId="8" fillId="0" borderId="4" xfId="6" quotePrefix="1" applyFont="1" applyBorder="1" applyAlignment="1">
      <alignment horizontal="center" vertical="center"/>
    </xf>
    <xf numFmtId="41" fontId="8" fillId="0" borderId="4" xfId="6" applyFont="1" applyBorder="1" applyAlignment="1">
      <alignment vertical="center"/>
    </xf>
    <xf numFmtId="0" fontId="5" fillId="0" borderId="4" xfId="5" applyFont="1" applyBorder="1" applyAlignment="1">
      <alignment vertical="center"/>
    </xf>
    <xf numFmtId="41" fontId="7" fillId="0" borderId="4" xfId="6" applyFont="1" applyBorder="1" applyAlignment="1">
      <alignment horizontal="center" vertical="center"/>
    </xf>
    <xf numFmtId="0" fontId="8" fillId="2" borderId="4" xfId="0" applyFont="1" applyFill="1" applyBorder="1"/>
    <xf numFmtId="41" fontId="9" fillId="2" borderId="4" xfId="0" applyNumberFormat="1" applyFont="1" applyFill="1" applyBorder="1" applyAlignment="1">
      <alignment horizontal="center" vertical="center"/>
    </xf>
    <xf numFmtId="0" fontId="14" fillId="0" borderId="0" xfId="3" applyFont="1"/>
    <xf numFmtId="0" fontId="5" fillId="2" borderId="1" xfId="3" applyFont="1" applyFill="1" applyBorder="1" applyAlignment="1">
      <alignment vertical="center"/>
    </xf>
    <xf numFmtId="0" fontId="6" fillId="2" borderId="1" xfId="3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/>
    </xf>
    <xf numFmtId="0" fontId="5" fillId="2" borderId="4" xfId="3" applyFont="1" applyFill="1" applyBorder="1" applyAlignment="1">
      <alignment horizontal="center" vertical="center"/>
    </xf>
    <xf numFmtId="0" fontId="6" fillId="2" borderId="4" xfId="3" applyFont="1" applyFill="1" applyBorder="1" applyAlignment="1">
      <alignment horizontal="center" vertical="center"/>
    </xf>
    <xf numFmtId="0" fontId="8" fillId="3" borderId="4" xfId="5" applyFont="1" applyFill="1" applyBorder="1" applyAlignment="1">
      <alignment horizontal="center" vertical="center"/>
    </xf>
    <xf numFmtId="0" fontId="8" fillId="3" borderId="4" xfId="5" applyFont="1" applyFill="1" applyBorder="1" applyAlignment="1">
      <alignment vertical="center"/>
    </xf>
    <xf numFmtId="0" fontId="8" fillId="3" borderId="4" xfId="5" applyFont="1" applyFill="1" applyBorder="1" applyAlignment="1">
      <alignment vertical="center" wrapText="1"/>
    </xf>
    <xf numFmtId="41" fontId="8" fillId="3" borderId="4" xfId="6" quotePrefix="1" applyFont="1" applyFill="1" applyBorder="1" applyAlignment="1">
      <alignment horizontal="center" vertical="center"/>
    </xf>
    <xf numFmtId="41" fontId="8" fillId="3" borderId="4" xfId="6" applyFont="1" applyFill="1" applyBorder="1" applyAlignment="1">
      <alignment vertical="center"/>
    </xf>
    <xf numFmtId="0" fontId="7" fillId="2" borderId="4" xfId="5" applyFont="1" applyFill="1" applyBorder="1" applyAlignment="1">
      <alignment vertical="center"/>
    </xf>
    <xf numFmtId="41" fontId="5" fillId="2" borderId="4" xfId="6" applyFont="1" applyFill="1" applyBorder="1" applyAlignment="1">
      <alignment horizontal="left" vertical="center"/>
    </xf>
    <xf numFmtId="41" fontId="5" fillId="2" borderId="4" xfId="6" applyFont="1" applyFill="1" applyBorder="1" applyAlignment="1">
      <alignment vertical="center"/>
    </xf>
    <xf numFmtId="0" fontId="6" fillId="2" borderId="1" xfId="3" applyFont="1" applyFill="1" applyBorder="1" applyAlignment="1">
      <alignment horizontal="center" vertical="center"/>
    </xf>
    <xf numFmtId="17" fontId="10" fillId="0" borderId="0" xfId="3" applyNumberFormat="1" applyFont="1"/>
    <xf numFmtId="0" fontId="12" fillId="2" borderId="1" xfId="3" applyFont="1" applyFill="1" applyBorder="1" applyAlignment="1">
      <alignment horizontal="center" vertical="center"/>
    </xf>
    <xf numFmtId="0" fontId="12" fillId="2" borderId="1" xfId="3" applyFont="1" applyFill="1" applyBorder="1" applyAlignment="1">
      <alignment vertical="center"/>
    </xf>
    <xf numFmtId="0" fontId="12" fillId="2" borderId="2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/>
    </xf>
    <xf numFmtId="0" fontId="12" fillId="2" borderId="3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vertical="center"/>
    </xf>
    <xf numFmtId="0" fontId="15" fillId="2" borderId="4" xfId="3" applyFont="1" applyFill="1" applyBorder="1" applyAlignment="1">
      <alignment horizontal="center" vertical="center"/>
    </xf>
    <xf numFmtId="0" fontId="16" fillId="2" borderId="4" xfId="3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/>
    </xf>
    <xf numFmtId="41" fontId="9" fillId="2" borderId="4" xfId="0" applyNumberFormat="1" applyFont="1" applyFill="1" applyBorder="1"/>
    <xf numFmtId="0" fontId="3" fillId="0" borderId="0" xfId="3" applyFont="1" applyAlignment="1">
      <alignment horizontal="center" vertical="center"/>
    </xf>
    <xf numFmtId="0" fontId="17" fillId="0" borderId="0" xfId="3" applyFont="1"/>
    <xf numFmtId="0" fontId="14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vertical="center"/>
    </xf>
    <xf numFmtId="41" fontId="14" fillId="0" borderId="4" xfId="6" quotePrefix="1" applyFont="1" applyBorder="1" applyAlignment="1">
      <alignment horizontal="center" vertical="center"/>
    </xf>
    <xf numFmtId="41" fontId="14" fillId="0" borderId="4" xfId="6" applyFont="1" applyBorder="1" applyAlignment="1">
      <alignment vertical="center"/>
    </xf>
    <xf numFmtId="0" fontId="14" fillId="0" borderId="4" xfId="0" applyFont="1" applyBorder="1"/>
    <xf numFmtId="0" fontId="18" fillId="3" borderId="4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vertical="center"/>
    </xf>
    <xf numFmtId="41" fontId="18" fillId="3" borderId="4" xfId="6" applyFont="1" applyFill="1" applyBorder="1" applyAlignment="1">
      <alignment vertical="center"/>
    </xf>
    <xf numFmtId="3" fontId="14" fillId="0" borderId="4" xfId="1" applyNumberFormat="1" applyFont="1" applyBorder="1" applyAlignment="1">
      <alignment vertical="center"/>
    </xf>
    <xf numFmtId="0" fontId="14" fillId="2" borderId="4" xfId="0" applyFont="1" applyFill="1" applyBorder="1"/>
    <xf numFmtId="0" fontId="15" fillId="2" borderId="1" xfId="3" applyFont="1" applyFill="1" applyBorder="1" applyAlignment="1">
      <alignment horizontal="center" vertical="center"/>
    </xf>
    <xf numFmtId="0" fontId="15" fillId="2" borderId="1" xfId="3" applyFont="1" applyFill="1" applyBorder="1" applyAlignment="1">
      <alignment vertical="center"/>
    </xf>
    <xf numFmtId="0" fontId="16" fillId="2" borderId="1" xfId="3" applyFont="1" applyFill="1" applyBorder="1" applyAlignment="1">
      <alignment horizontal="center" vertical="center"/>
    </xf>
    <xf numFmtId="0" fontId="16" fillId="2" borderId="4" xfId="3" applyFont="1" applyFill="1" applyBorder="1" applyAlignment="1">
      <alignment horizontal="center" vertical="center"/>
    </xf>
    <xf numFmtId="0" fontId="15" fillId="2" borderId="2" xfId="3" applyFont="1" applyFill="1" applyBorder="1" applyAlignment="1">
      <alignment horizontal="center" vertical="center"/>
    </xf>
    <xf numFmtId="0" fontId="15" fillId="2" borderId="2" xfId="3" applyFont="1" applyFill="1" applyBorder="1" applyAlignment="1">
      <alignment horizontal="center" vertical="center"/>
    </xf>
    <xf numFmtId="0" fontId="16" fillId="2" borderId="2" xfId="3" applyFont="1" applyFill="1" applyBorder="1" applyAlignment="1">
      <alignment horizontal="center" vertical="center"/>
    </xf>
    <xf numFmtId="0" fontId="15" fillId="2" borderId="3" xfId="3" applyFont="1" applyFill="1" applyBorder="1" applyAlignment="1">
      <alignment horizontal="center" vertical="center"/>
    </xf>
    <xf numFmtId="0" fontId="15" fillId="2" borderId="2" xfId="3" applyFont="1" applyFill="1" applyBorder="1" applyAlignment="1">
      <alignment vertical="center"/>
    </xf>
    <xf numFmtId="0" fontId="7" fillId="2" borderId="2" xfId="3" applyFont="1" applyFill="1" applyBorder="1" applyAlignment="1">
      <alignment horizontal="center" vertical="center"/>
    </xf>
    <xf numFmtId="0" fontId="18" fillId="2" borderId="1" xfId="3" applyFont="1" applyFill="1" applyBorder="1" applyAlignment="1">
      <alignment horizontal="center" vertical="center"/>
    </xf>
    <xf numFmtId="0" fontId="19" fillId="2" borderId="1" xfId="3" applyFont="1" applyFill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8" fillId="0" borderId="4" xfId="0" quotePrefix="1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7" fillId="2" borderId="4" xfId="3" applyFont="1" applyFill="1" applyBorder="1" applyAlignment="1">
      <alignment horizontal="center" vertical="center"/>
    </xf>
    <xf numFmtId="0" fontId="20" fillId="2" borderId="4" xfId="3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41" fontId="8" fillId="0" borderId="4" xfId="6" applyFont="1" applyBorder="1" applyAlignment="1">
      <alignment horizontal="center" vertical="center"/>
    </xf>
    <xf numFmtId="41" fontId="8" fillId="0" borderId="4" xfId="6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5" fillId="2" borderId="4" xfId="3" applyFont="1" applyFill="1" applyBorder="1" applyAlignment="1">
      <alignment horizontal="center" vertical="center"/>
    </xf>
    <xf numFmtId="0" fontId="5" fillId="2" borderId="4" xfId="3" applyFont="1" applyFill="1" applyBorder="1" applyAlignment="1">
      <alignment vertical="center"/>
    </xf>
    <xf numFmtId="166" fontId="8" fillId="0" borderId="4" xfId="6" applyNumberFormat="1" applyFont="1" applyBorder="1" applyAlignment="1">
      <alignment vertical="center"/>
    </xf>
    <xf numFmtId="43" fontId="9" fillId="2" borderId="4" xfId="1" applyFont="1" applyFill="1" applyBorder="1" applyAlignment="1">
      <alignment vertical="center"/>
    </xf>
    <xf numFmtId="0" fontId="3" fillId="0" borderId="0" xfId="3" applyFont="1" applyAlignment="1">
      <alignment horizontal="center" vertical="center" wrapText="1"/>
    </xf>
    <xf numFmtId="41" fontId="8" fillId="0" borderId="4" xfId="2" quotePrefix="1" applyFont="1" applyBorder="1" applyAlignment="1">
      <alignment horizontal="center" vertical="center"/>
    </xf>
    <xf numFmtId="41" fontId="8" fillId="0" borderId="4" xfId="2" applyFont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41" fontId="4" fillId="2" borderId="4" xfId="2" applyFont="1" applyFill="1" applyBorder="1" applyAlignment="1">
      <alignment vertical="center"/>
    </xf>
    <xf numFmtId="41" fontId="9" fillId="2" borderId="4" xfId="2" applyFont="1" applyFill="1" applyBorder="1" applyAlignment="1">
      <alignment vertical="center"/>
    </xf>
    <xf numFmtId="3" fontId="8" fillId="0" borderId="4" xfId="0" quotePrefix="1" applyNumberFormat="1" applyFont="1" applyBorder="1" applyAlignment="1">
      <alignment horizontal="right" vertical="center"/>
    </xf>
    <xf numFmtId="0" fontId="10" fillId="0" borderId="0" xfId="3" applyFont="1" applyAlignment="1">
      <alignment vertical="center"/>
    </xf>
    <xf numFmtId="0" fontId="2" fillId="0" borderId="0" xfId="3" applyFont="1"/>
    <xf numFmtId="0" fontId="9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8" fillId="0" borderId="4" xfId="3" applyFont="1" applyBorder="1"/>
    <xf numFmtId="0" fontId="20" fillId="0" borderId="4" xfId="3" applyFont="1" applyBorder="1" applyAlignment="1">
      <alignment horizontal="center" vertical="center"/>
    </xf>
    <xf numFmtId="41" fontId="11" fillId="0" borderId="4" xfId="6" quotePrefix="1" applyFont="1" applyBorder="1" applyAlignment="1">
      <alignment horizontal="center" vertical="center"/>
    </xf>
    <xf numFmtId="41" fontId="11" fillId="0" borderId="4" xfId="6" applyFont="1" applyBorder="1" applyAlignment="1">
      <alignment vertical="center"/>
    </xf>
    <xf numFmtId="0" fontId="4" fillId="0" borderId="4" xfId="3" applyFont="1" applyBorder="1"/>
    <xf numFmtId="0" fontId="20" fillId="3" borderId="4" xfId="3" applyFont="1" applyFill="1" applyBorder="1" applyAlignment="1">
      <alignment horizontal="center" vertical="center"/>
    </xf>
    <xf numFmtId="0" fontId="11" fillId="3" borderId="4" xfId="3" applyFont="1" applyFill="1" applyBorder="1" applyAlignment="1">
      <alignment vertical="center"/>
    </xf>
    <xf numFmtId="41" fontId="11" fillId="3" borderId="4" xfId="6" quotePrefix="1" applyFont="1" applyFill="1" applyBorder="1" applyAlignment="1">
      <alignment horizontal="center" vertical="center"/>
    </xf>
    <xf numFmtId="41" fontId="11" fillId="3" borderId="4" xfId="6" applyFont="1" applyFill="1" applyBorder="1" applyAlignment="1">
      <alignment vertical="center"/>
    </xf>
    <xf numFmtId="0" fontId="4" fillId="3" borderId="4" xfId="3" applyFont="1" applyFill="1" applyBorder="1"/>
    <xf numFmtId="0" fontId="20" fillId="2" borderId="4" xfId="3" applyFont="1" applyFill="1" applyBorder="1" applyAlignment="1">
      <alignment horizontal="center"/>
    </xf>
    <xf numFmtId="0" fontId="11" fillId="2" borderId="4" xfId="3" applyFont="1" applyFill="1" applyBorder="1" applyAlignment="1">
      <alignment vertical="center"/>
    </xf>
    <xf numFmtId="41" fontId="11" fillId="2" borderId="4" xfId="6" applyFont="1" applyFill="1" applyBorder="1" applyAlignment="1">
      <alignment horizontal="center" vertical="center"/>
    </xf>
    <xf numFmtId="41" fontId="12" fillId="2" borderId="4" xfId="6" applyFont="1" applyFill="1" applyBorder="1" applyAlignment="1">
      <alignment vertical="center"/>
    </xf>
    <xf numFmtId="0" fontId="4" fillId="2" borderId="4" xfId="3" applyFont="1" applyFill="1" applyBorder="1"/>
    <xf numFmtId="0" fontId="20" fillId="0" borderId="5" xfId="3" applyFont="1" applyBorder="1" applyAlignment="1">
      <alignment horizontal="center"/>
    </xf>
    <xf numFmtId="0" fontId="20" fillId="0" borderId="6" xfId="3" applyFont="1" applyBorder="1" applyAlignment="1">
      <alignment horizontal="center"/>
    </xf>
    <xf numFmtId="0" fontId="10" fillId="0" borderId="5" xfId="3" applyFont="1" applyBorder="1" applyAlignment="1">
      <alignment horizontal="left" vertical="top"/>
    </xf>
    <xf numFmtId="0" fontId="10" fillId="0" borderId="6" xfId="3" applyFont="1" applyBorder="1" applyAlignment="1">
      <alignment horizontal="left" vertical="top"/>
    </xf>
    <xf numFmtId="0" fontId="10" fillId="0" borderId="4" xfId="3" applyFont="1" applyBorder="1"/>
    <xf numFmtId="0" fontId="13" fillId="0" borderId="4" xfId="3" applyFont="1" applyBorder="1" applyAlignment="1">
      <alignment horizontal="center" vertical="center"/>
    </xf>
    <xf numFmtId="0" fontId="4" fillId="0" borderId="4" xfId="0" applyFont="1" applyBorder="1"/>
    <xf numFmtId="0" fontId="22" fillId="0" borderId="4" xfId="0" applyFont="1" applyBorder="1" applyAlignment="1">
      <alignment horizontal="center" vertical="center"/>
    </xf>
    <xf numFmtId="41" fontId="11" fillId="0" borderId="4" xfId="6" quotePrefix="1" applyFont="1" applyFill="1" applyBorder="1" applyAlignment="1">
      <alignment horizontal="center" vertical="center"/>
    </xf>
    <xf numFmtId="41" fontId="11" fillId="0" borderId="4" xfId="6" applyFont="1" applyFill="1" applyBorder="1" applyAlignment="1">
      <alignment vertical="center"/>
    </xf>
    <xf numFmtId="0" fontId="11" fillId="0" borderId="4" xfId="3" applyFont="1" applyBorder="1" applyAlignment="1">
      <alignment horizontal="left" vertical="center"/>
    </xf>
    <xf numFmtId="0" fontId="20" fillId="4" borderId="4" xfId="3" applyFont="1" applyFill="1" applyBorder="1" applyAlignment="1">
      <alignment horizontal="center"/>
    </xf>
    <xf numFmtId="0" fontId="4" fillId="4" borderId="4" xfId="0" applyFont="1" applyFill="1" applyBorder="1"/>
    <xf numFmtId="41" fontId="10" fillId="4" borderId="4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7">
    <cellStyle name="Comma" xfId="1" builtinId="3"/>
    <cellStyle name="Comma [0]" xfId="2" builtinId="6"/>
    <cellStyle name="Comma [0] 2" xfId="4" xr:uid="{67881ED6-002C-4A58-8974-11E5119ACA1E}"/>
    <cellStyle name="Comma [0] 3" xfId="6" xr:uid="{75CAD78F-64F6-4518-9702-459A37F125AB}"/>
    <cellStyle name="Normal" xfId="0" builtinId="0"/>
    <cellStyle name="Normal 2" xfId="3" xr:uid="{114549B5-AB9F-4ADE-9032-9E0F8173C96A}"/>
    <cellStyle name="Normal 3" xfId="5" xr:uid="{BDD543B7-3DAE-4CC2-B918-516AA0A7EA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F186D-53B2-4FAE-8067-FC8D662CD841}">
  <dimension ref="A1:F48"/>
  <sheetViews>
    <sheetView topLeftCell="A37" workbookViewId="0">
      <selection activeCell="A48" sqref="A48"/>
    </sheetView>
  </sheetViews>
  <sheetFormatPr defaultRowHeight="15" x14ac:dyDescent="0.25"/>
  <cols>
    <col min="1" max="1" width="6.5703125" customWidth="1"/>
    <col min="2" max="2" width="39.7109375" customWidth="1"/>
    <col min="3" max="3" width="27.140625" customWidth="1"/>
    <col min="4" max="4" width="9.42578125" customWidth="1"/>
    <col min="5" max="5" width="15.28515625" customWidth="1"/>
    <col min="6" max="6" width="16.7109375" customWidth="1"/>
  </cols>
  <sheetData>
    <row r="1" spans="1:6" ht="23.25" x14ac:dyDescent="0.25">
      <c r="A1" s="1" t="s">
        <v>82</v>
      </c>
      <c r="B1" s="1"/>
      <c r="C1" s="14"/>
      <c r="D1" s="1"/>
      <c r="E1" s="1"/>
    </row>
    <row r="2" spans="1:6" ht="20.25" x14ac:dyDescent="0.3">
      <c r="A2" s="2"/>
      <c r="B2" s="2"/>
      <c r="C2" s="2"/>
      <c r="D2" s="3"/>
      <c r="E2" s="3"/>
    </row>
    <row r="3" spans="1:6" ht="15.75" x14ac:dyDescent="0.25">
      <c r="A3" s="4" t="s">
        <v>0</v>
      </c>
      <c r="B3" s="4" t="s">
        <v>1</v>
      </c>
      <c r="C3" s="4" t="s">
        <v>2</v>
      </c>
      <c r="D3" s="5"/>
      <c r="E3" s="95" t="s">
        <v>213</v>
      </c>
      <c r="F3" s="24" t="s">
        <v>83</v>
      </c>
    </row>
    <row r="4" spans="1:6" ht="15.75" x14ac:dyDescent="0.25">
      <c r="A4" s="7"/>
      <c r="B4" s="7"/>
      <c r="C4" s="7"/>
      <c r="D4" s="8" t="s">
        <v>4</v>
      </c>
      <c r="E4" s="99"/>
      <c r="F4" s="24"/>
    </row>
    <row r="5" spans="1:6" ht="15.75" x14ac:dyDescent="0.25">
      <c r="A5" s="10"/>
      <c r="B5" s="10"/>
      <c r="C5" s="10"/>
      <c r="D5" s="11"/>
      <c r="E5" s="99"/>
      <c r="F5" s="24"/>
    </row>
    <row r="6" spans="1:6" ht="30.75" customHeight="1" x14ac:dyDescent="0.25">
      <c r="A6" s="16">
        <v>1</v>
      </c>
      <c r="B6" s="17" t="s">
        <v>5</v>
      </c>
      <c r="C6" s="17" t="s">
        <v>6</v>
      </c>
      <c r="D6" s="18" t="s">
        <v>151</v>
      </c>
      <c r="E6" s="22">
        <v>14000</v>
      </c>
      <c r="F6" s="25"/>
    </row>
    <row r="7" spans="1:6" ht="30.75" customHeight="1" x14ac:dyDescent="0.25">
      <c r="A7" s="16"/>
      <c r="B7" s="17" t="s">
        <v>274</v>
      </c>
      <c r="C7" s="17" t="s">
        <v>6</v>
      </c>
      <c r="D7" s="18" t="s">
        <v>151</v>
      </c>
      <c r="E7" s="22">
        <v>28000</v>
      </c>
      <c r="F7" s="160"/>
    </row>
    <row r="8" spans="1:6" ht="30.75" customHeight="1" x14ac:dyDescent="0.25">
      <c r="A8" s="16">
        <v>2</v>
      </c>
      <c r="B8" s="17" t="s">
        <v>8</v>
      </c>
      <c r="C8" s="17" t="s">
        <v>9</v>
      </c>
      <c r="D8" s="18" t="s">
        <v>151</v>
      </c>
      <c r="E8" s="22">
        <v>14000</v>
      </c>
      <c r="F8" s="25"/>
    </row>
    <row r="9" spans="1:6" ht="30.75" customHeight="1" x14ac:dyDescent="0.25">
      <c r="A9" s="16"/>
      <c r="B9" s="17" t="s">
        <v>10</v>
      </c>
      <c r="C9" s="17" t="s">
        <v>9</v>
      </c>
      <c r="D9" s="18" t="s">
        <v>151</v>
      </c>
      <c r="E9" s="22">
        <v>14000</v>
      </c>
      <c r="F9" s="25"/>
    </row>
    <row r="10" spans="1:6" ht="30.75" customHeight="1" x14ac:dyDescent="0.25">
      <c r="A10" s="16">
        <v>3</v>
      </c>
      <c r="B10" s="17" t="s">
        <v>275</v>
      </c>
      <c r="C10" s="17" t="s">
        <v>11</v>
      </c>
      <c r="D10" s="18" t="s">
        <v>151</v>
      </c>
      <c r="E10" s="22">
        <v>14000</v>
      </c>
      <c r="F10" s="25"/>
    </row>
    <row r="11" spans="1:6" ht="30.75" customHeight="1" x14ac:dyDescent="0.25">
      <c r="A11" s="16"/>
      <c r="B11" s="17" t="s">
        <v>12</v>
      </c>
      <c r="C11" s="17" t="s">
        <v>11</v>
      </c>
      <c r="D11" s="18" t="s">
        <v>151</v>
      </c>
      <c r="E11" s="22">
        <v>20000</v>
      </c>
      <c r="F11" s="25"/>
    </row>
    <row r="12" spans="1:6" ht="30.75" customHeight="1" x14ac:dyDescent="0.25">
      <c r="A12" s="16">
        <v>4</v>
      </c>
      <c r="B12" s="17" t="s">
        <v>13</v>
      </c>
      <c r="C12" s="17" t="s">
        <v>14</v>
      </c>
      <c r="D12" s="18" t="s">
        <v>151</v>
      </c>
      <c r="E12" s="22">
        <v>14000</v>
      </c>
      <c r="F12" s="25"/>
    </row>
    <row r="13" spans="1:6" ht="30.75" customHeight="1" x14ac:dyDescent="0.25">
      <c r="A13" s="16"/>
      <c r="B13" s="17" t="s">
        <v>15</v>
      </c>
      <c r="C13" s="17" t="s">
        <v>14</v>
      </c>
      <c r="D13" s="18" t="s">
        <v>151</v>
      </c>
      <c r="E13" s="22">
        <v>14000</v>
      </c>
      <c r="F13" s="25"/>
    </row>
    <row r="14" spans="1:6" ht="30.75" customHeight="1" x14ac:dyDescent="0.25">
      <c r="A14" s="16">
        <v>5</v>
      </c>
      <c r="B14" s="17" t="s">
        <v>16</v>
      </c>
      <c r="C14" s="17" t="s">
        <v>17</v>
      </c>
      <c r="D14" s="18" t="s">
        <v>151</v>
      </c>
      <c r="E14" s="22">
        <v>14000</v>
      </c>
      <c r="F14" s="25"/>
    </row>
    <row r="15" spans="1:6" ht="30.75" customHeight="1" x14ac:dyDescent="0.25">
      <c r="A15" s="16"/>
      <c r="B15" s="17" t="s">
        <v>18</v>
      </c>
      <c r="C15" s="17" t="s">
        <v>17</v>
      </c>
      <c r="D15" s="18" t="s">
        <v>151</v>
      </c>
      <c r="E15" s="22">
        <v>14000</v>
      </c>
      <c r="F15" s="25"/>
    </row>
    <row r="16" spans="1:6" ht="30.75" customHeight="1" x14ac:dyDescent="0.25">
      <c r="A16" s="16">
        <v>6</v>
      </c>
      <c r="B16" s="17" t="s">
        <v>19</v>
      </c>
      <c r="C16" s="17" t="s">
        <v>20</v>
      </c>
      <c r="D16" s="18" t="s">
        <v>151</v>
      </c>
      <c r="E16" s="22">
        <v>9500</v>
      </c>
      <c r="F16" s="25"/>
    </row>
    <row r="17" spans="1:6" ht="30.75" customHeight="1" x14ac:dyDescent="0.25">
      <c r="A17" s="16"/>
      <c r="B17" s="17" t="s">
        <v>21</v>
      </c>
      <c r="C17" s="17" t="s">
        <v>22</v>
      </c>
      <c r="D17" s="18" t="s">
        <v>151</v>
      </c>
      <c r="E17" s="22">
        <v>4000</v>
      </c>
      <c r="F17" s="25"/>
    </row>
    <row r="18" spans="1:6" ht="30.75" customHeight="1" x14ac:dyDescent="0.25">
      <c r="A18" s="16">
        <v>7</v>
      </c>
      <c r="B18" s="17" t="s">
        <v>24</v>
      </c>
      <c r="C18" s="17" t="s">
        <v>25</v>
      </c>
      <c r="D18" s="18" t="s">
        <v>151</v>
      </c>
      <c r="E18" s="22">
        <v>14000</v>
      </c>
      <c r="F18" s="25"/>
    </row>
    <row r="19" spans="1:6" ht="30.75" customHeight="1" x14ac:dyDescent="0.25">
      <c r="A19" s="16"/>
      <c r="B19" s="17" t="s">
        <v>26</v>
      </c>
      <c r="C19" s="17" t="s">
        <v>25</v>
      </c>
      <c r="D19" s="18" t="s">
        <v>151</v>
      </c>
      <c r="E19" s="22">
        <v>14000</v>
      </c>
      <c r="F19" s="25"/>
    </row>
    <row r="20" spans="1:6" ht="30.75" customHeight="1" x14ac:dyDescent="0.25">
      <c r="A20" s="16">
        <v>8</v>
      </c>
      <c r="B20" s="17" t="s">
        <v>27</v>
      </c>
      <c r="C20" s="17" t="s">
        <v>28</v>
      </c>
      <c r="D20" s="18" t="s">
        <v>151</v>
      </c>
      <c r="E20" s="22">
        <v>14000</v>
      </c>
      <c r="F20" s="25"/>
    </row>
    <row r="21" spans="1:6" ht="30.75" customHeight="1" x14ac:dyDescent="0.25">
      <c r="A21" s="16"/>
      <c r="B21" s="17" t="s">
        <v>29</v>
      </c>
      <c r="C21" s="17" t="s">
        <v>28</v>
      </c>
      <c r="D21" s="18" t="s">
        <v>151</v>
      </c>
      <c r="E21" s="22">
        <v>14000</v>
      </c>
      <c r="F21" s="25"/>
    </row>
    <row r="22" spans="1:6" ht="30.75" customHeight="1" x14ac:dyDescent="0.25">
      <c r="A22" s="16">
        <v>9</v>
      </c>
      <c r="B22" s="17" t="s">
        <v>30</v>
      </c>
      <c r="C22" s="17" t="s">
        <v>31</v>
      </c>
      <c r="D22" s="18" t="s">
        <v>151</v>
      </c>
      <c r="E22" s="22">
        <v>14000</v>
      </c>
      <c r="F22" s="25"/>
    </row>
    <row r="23" spans="1:6" ht="30.75" customHeight="1" x14ac:dyDescent="0.25">
      <c r="A23" s="16">
        <v>10</v>
      </c>
      <c r="B23" s="17" t="s">
        <v>32</v>
      </c>
      <c r="C23" s="17" t="s">
        <v>33</v>
      </c>
      <c r="D23" s="18" t="s">
        <v>151</v>
      </c>
      <c r="E23" s="22">
        <v>14000</v>
      </c>
      <c r="F23" s="25"/>
    </row>
    <row r="24" spans="1:6" ht="30.75" customHeight="1" x14ac:dyDescent="0.25">
      <c r="A24" s="16">
        <v>11</v>
      </c>
      <c r="B24" s="17" t="s">
        <v>34</v>
      </c>
      <c r="C24" s="17" t="s">
        <v>35</v>
      </c>
      <c r="D24" s="18" t="s">
        <v>151</v>
      </c>
      <c r="E24" s="22">
        <v>6000</v>
      </c>
      <c r="F24" s="25"/>
    </row>
    <row r="25" spans="1:6" ht="30.75" customHeight="1" x14ac:dyDescent="0.25">
      <c r="A25" s="16">
        <v>12</v>
      </c>
      <c r="B25" s="17" t="s">
        <v>36</v>
      </c>
      <c r="C25" s="17" t="s">
        <v>37</v>
      </c>
      <c r="D25" s="18" t="s">
        <v>151</v>
      </c>
      <c r="E25" s="22">
        <v>14000</v>
      </c>
      <c r="F25" s="25"/>
    </row>
    <row r="26" spans="1:6" ht="30.75" customHeight="1" x14ac:dyDescent="0.25">
      <c r="A26" s="16">
        <v>13</v>
      </c>
      <c r="B26" s="17" t="s">
        <v>38</v>
      </c>
      <c r="C26" s="17" t="s">
        <v>39</v>
      </c>
      <c r="D26" s="18" t="s">
        <v>151</v>
      </c>
      <c r="E26" s="22">
        <v>14000</v>
      </c>
      <c r="F26" s="25"/>
    </row>
    <row r="27" spans="1:6" ht="30.75" customHeight="1" x14ac:dyDescent="0.25">
      <c r="A27" s="16">
        <v>14</v>
      </c>
      <c r="B27" s="17" t="s">
        <v>40</v>
      </c>
      <c r="C27" s="17" t="s">
        <v>41</v>
      </c>
      <c r="D27" s="18" t="s">
        <v>151</v>
      </c>
      <c r="E27" s="22">
        <v>9500</v>
      </c>
      <c r="F27" s="25"/>
    </row>
    <row r="28" spans="1:6" ht="30.75" customHeight="1" x14ac:dyDescent="0.25">
      <c r="A28" s="16">
        <v>15</v>
      </c>
      <c r="B28" s="17" t="s">
        <v>42</v>
      </c>
      <c r="C28" s="17" t="s">
        <v>43</v>
      </c>
      <c r="D28" s="18" t="s">
        <v>151</v>
      </c>
      <c r="E28" s="22">
        <v>14000</v>
      </c>
      <c r="F28" s="25"/>
    </row>
    <row r="29" spans="1:6" ht="30.75" customHeight="1" x14ac:dyDescent="0.25">
      <c r="A29" s="16">
        <v>16</v>
      </c>
      <c r="B29" s="17" t="s">
        <v>44</v>
      </c>
      <c r="C29" s="17" t="s">
        <v>45</v>
      </c>
      <c r="D29" s="18" t="s">
        <v>151</v>
      </c>
      <c r="E29" s="22">
        <v>9500</v>
      </c>
      <c r="F29" s="25"/>
    </row>
    <row r="30" spans="1:6" ht="30.75" customHeight="1" x14ac:dyDescent="0.25">
      <c r="A30" s="16">
        <v>17</v>
      </c>
      <c r="B30" s="17" t="s">
        <v>46</v>
      </c>
      <c r="C30" s="17" t="s">
        <v>47</v>
      </c>
      <c r="D30" s="18" t="s">
        <v>151</v>
      </c>
      <c r="E30" s="22">
        <v>14000</v>
      </c>
      <c r="F30" s="25"/>
    </row>
    <row r="31" spans="1:6" ht="30.75" customHeight="1" x14ac:dyDescent="0.25">
      <c r="A31" s="16">
        <v>18</v>
      </c>
      <c r="B31" s="17" t="s">
        <v>48</v>
      </c>
      <c r="C31" s="17" t="s">
        <v>49</v>
      </c>
      <c r="D31" s="18" t="s">
        <v>151</v>
      </c>
      <c r="E31" s="22">
        <v>6000</v>
      </c>
      <c r="F31" s="25"/>
    </row>
    <row r="32" spans="1:6" ht="30.75" customHeight="1" x14ac:dyDescent="0.25">
      <c r="A32" s="16">
        <v>19</v>
      </c>
      <c r="B32" s="17" t="s">
        <v>50</v>
      </c>
      <c r="C32" s="17" t="s">
        <v>51</v>
      </c>
      <c r="D32" s="18" t="s">
        <v>151</v>
      </c>
      <c r="E32" s="22">
        <v>4000</v>
      </c>
      <c r="F32" s="25"/>
    </row>
    <row r="33" spans="1:6" ht="30.75" customHeight="1" x14ac:dyDescent="0.25">
      <c r="A33" s="16">
        <v>20</v>
      </c>
      <c r="B33" s="17" t="s">
        <v>53</v>
      </c>
      <c r="C33" s="17" t="s">
        <v>54</v>
      </c>
      <c r="D33" s="18" t="s">
        <v>151</v>
      </c>
      <c r="E33" s="22">
        <v>14000</v>
      </c>
      <c r="F33" s="25"/>
    </row>
    <row r="34" spans="1:6" ht="30.75" customHeight="1" x14ac:dyDescent="0.25">
      <c r="A34" s="16">
        <v>21</v>
      </c>
      <c r="B34" s="17" t="s">
        <v>55</v>
      </c>
      <c r="C34" s="17" t="s">
        <v>56</v>
      </c>
      <c r="D34" s="18" t="s">
        <v>151</v>
      </c>
      <c r="E34" s="22">
        <v>6000</v>
      </c>
      <c r="F34" s="25"/>
    </row>
    <row r="35" spans="1:6" ht="30.75" customHeight="1" x14ac:dyDescent="0.25">
      <c r="A35" s="16">
        <v>22</v>
      </c>
      <c r="B35" s="17" t="s">
        <v>57</v>
      </c>
      <c r="C35" s="17" t="s">
        <v>58</v>
      </c>
      <c r="D35" s="18" t="s">
        <v>151</v>
      </c>
      <c r="E35" s="22">
        <v>10000</v>
      </c>
      <c r="F35" s="25"/>
    </row>
    <row r="36" spans="1:6" ht="30.75" customHeight="1" x14ac:dyDescent="0.25">
      <c r="A36" s="16">
        <v>23</v>
      </c>
      <c r="B36" s="17" t="s">
        <v>59</v>
      </c>
      <c r="C36" s="17" t="s">
        <v>60</v>
      </c>
      <c r="D36" s="18" t="s">
        <v>151</v>
      </c>
      <c r="E36" s="22">
        <v>2600</v>
      </c>
      <c r="F36" s="25"/>
    </row>
    <row r="37" spans="1:6" ht="30.75" customHeight="1" x14ac:dyDescent="0.25">
      <c r="A37" s="16">
        <v>24</v>
      </c>
      <c r="B37" s="17" t="s">
        <v>61</v>
      </c>
      <c r="C37" s="17" t="s">
        <v>62</v>
      </c>
      <c r="D37" s="18" t="s">
        <v>151</v>
      </c>
      <c r="E37" s="22">
        <v>2600</v>
      </c>
      <c r="F37" s="25"/>
    </row>
    <row r="38" spans="1:6" ht="30.75" customHeight="1" x14ac:dyDescent="0.25">
      <c r="A38" s="16">
        <v>25</v>
      </c>
      <c r="B38" s="17" t="s">
        <v>63</v>
      </c>
      <c r="C38" s="17" t="s">
        <v>64</v>
      </c>
      <c r="D38" s="18" t="s">
        <v>151</v>
      </c>
      <c r="E38" s="22">
        <v>12000</v>
      </c>
      <c r="F38" s="25"/>
    </row>
    <row r="39" spans="1:6" ht="30.75" customHeight="1" x14ac:dyDescent="0.25">
      <c r="A39" s="16">
        <v>26</v>
      </c>
      <c r="B39" s="19" t="s">
        <v>65</v>
      </c>
      <c r="C39" s="19" t="s">
        <v>66</v>
      </c>
      <c r="D39" s="20" t="s">
        <v>151</v>
      </c>
      <c r="E39" s="23">
        <v>10000</v>
      </c>
      <c r="F39" s="25"/>
    </row>
    <row r="40" spans="1:6" ht="30.75" customHeight="1" x14ac:dyDescent="0.25">
      <c r="A40" s="16">
        <v>27</v>
      </c>
      <c r="B40" s="19" t="s">
        <v>67</v>
      </c>
      <c r="C40" s="19" t="s">
        <v>68</v>
      </c>
      <c r="D40" s="20" t="s">
        <v>151</v>
      </c>
      <c r="E40" s="23">
        <v>14000</v>
      </c>
      <c r="F40" s="25"/>
    </row>
    <row r="41" spans="1:6" ht="30.75" customHeight="1" x14ac:dyDescent="0.25">
      <c r="A41" s="16">
        <v>28</v>
      </c>
      <c r="B41" s="17" t="s">
        <v>69</v>
      </c>
      <c r="C41" s="17" t="s">
        <v>70</v>
      </c>
      <c r="D41" s="20" t="s">
        <v>151</v>
      </c>
      <c r="E41" s="23">
        <v>14000</v>
      </c>
      <c r="F41" s="25"/>
    </row>
    <row r="42" spans="1:6" ht="30.75" customHeight="1" x14ac:dyDescent="0.25">
      <c r="A42" s="16">
        <v>29</v>
      </c>
      <c r="B42" s="17" t="s">
        <v>71</v>
      </c>
      <c r="C42" s="17" t="s">
        <v>72</v>
      </c>
      <c r="D42" s="20" t="s">
        <v>151</v>
      </c>
      <c r="E42" s="23">
        <v>14000</v>
      </c>
      <c r="F42" s="25"/>
    </row>
    <row r="43" spans="1:6" ht="30.75" customHeight="1" x14ac:dyDescent="0.25">
      <c r="A43" s="16">
        <v>30</v>
      </c>
      <c r="B43" s="17" t="s">
        <v>276</v>
      </c>
      <c r="C43" s="19" t="s">
        <v>73</v>
      </c>
      <c r="D43" s="20" t="s">
        <v>151</v>
      </c>
      <c r="E43" s="23">
        <v>27000</v>
      </c>
      <c r="F43" s="25"/>
    </row>
    <row r="44" spans="1:6" ht="30.75" customHeight="1" x14ac:dyDescent="0.25">
      <c r="A44" s="16">
        <v>31</v>
      </c>
      <c r="B44" s="19" t="s">
        <v>74</v>
      </c>
      <c r="C44" s="19" t="s">
        <v>75</v>
      </c>
      <c r="D44" s="20" t="s">
        <v>151</v>
      </c>
      <c r="E44" s="23">
        <v>4600</v>
      </c>
      <c r="F44" s="25"/>
    </row>
    <row r="45" spans="1:6" ht="30.75" customHeight="1" x14ac:dyDescent="0.25">
      <c r="A45" s="16">
        <v>32</v>
      </c>
      <c r="B45" s="19" t="s">
        <v>76</v>
      </c>
      <c r="C45" s="19" t="s">
        <v>77</v>
      </c>
      <c r="D45" s="20" t="s">
        <v>151</v>
      </c>
      <c r="E45" s="23">
        <v>9500</v>
      </c>
      <c r="F45" s="25"/>
    </row>
    <row r="46" spans="1:6" ht="30.75" customHeight="1" x14ac:dyDescent="0.25">
      <c r="A46" s="16">
        <v>33</v>
      </c>
      <c r="B46" s="19" t="s">
        <v>78</v>
      </c>
      <c r="C46" s="19" t="s">
        <v>79</v>
      </c>
      <c r="D46" s="20" t="s">
        <v>151</v>
      </c>
      <c r="E46" s="23">
        <v>4600</v>
      </c>
      <c r="F46" s="25"/>
    </row>
    <row r="47" spans="1:6" ht="30.75" customHeight="1" x14ac:dyDescent="0.25">
      <c r="A47" s="16">
        <v>34</v>
      </c>
      <c r="B47" s="21" t="s">
        <v>80</v>
      </c>
      <c r="C47" s="19" t="s">
        <v>81</v>
      </c>
      <c r="D47" s="20" t="s">
        <v>151</v>
      </c>
      <c r="E47" s="23">
        <v>4000</v>
      </c>
      <c r="F47" s="25"/>
    </row>
    <row r="48" spans="1:6" ht="18" x14ac:dyDescent="0.25">
      <c r="A48" s="12"/>
      <c r="B48" s="12"/>
      <c r="C48" s="12"/>
      <c r="D48" s="13"/>
      <c r="E48" s="15">
        <f>SUM(E6:E47)</f>
        <v>497400</v>
      </c>
      <c r="F48" s="25"/>
    </row>
  </sheetData>
  <mergeCells count="5">
    <mergeCell ref="A3:A5"/>
    <mergeCell ref="B3:B5"/>
    <mergeCell ref="C3:C5"/>
    <mergeCell ref="E3:E5"/>
    <mergeCell ref="F3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794EB-962E-41E1-A76C-0507950AC0B3}">
  <dimension ref="A1:F18"/>
  <sheetViews>
    <sheetView workbookViewId="0">
      <selection activeCell="E3" sqref="E3:E5"/>
    </sheetView>
  </sheetViews>
  <sheetFormatPr defaultRowHeight="15" x14ac:dyDescent="0.25"/>
  <cols>
    <col min="1" max="1" width="6.140625" customWidth="1"/>
    <col min="2" max="2" width="22.140625" customWidth="1"/>
    <col min="3" max="3" width="18.42578125" customWidth="1"/>
    <col min="5" max="5" width="16.42578125" customWidth="1"/>
    <col min="6" max="6" width="22.85546875" customWidth="1"/>
  </cols>
  <sheetData>
    <row r="1" spans="1:6" ht="18" x14ac:dyDescent="0.25">
      <c r="A1" s="26" t="s">
        <v>84</v>
      </c>
      <c r="B1" s="26"/>
      <c r="C1" s="26"/>
      <c r="D1" s="26"/>
      <c r="E1" s="26"/>
      <c r="F1" s="26"/>
    </row>
    <row r="2" spans="1:6" ht="18" x14ac:dyDescent="0.25">
      <c r="A2" s="27"/>
      <c r="B2" s="27"/>
      <c r="C2" s="27"/>
      <c r="D2" s="3"/>
      <c r="E2" s="3"/>
      <c r="F2" s="3"/>
    </row>
    <row r="3" spans="1:6" ht="18" x14ac:dyDescent="0.25">
      <c r="A3" s="28" t="s">
        <v>0</v>
      </c>
      <c r="B3" s="28" t="s">
        <v>1</v>
      </c>
      <c r="C3" s="28" t="s">
        <v>2</v>
      </c>
      <c r="D3" s="29"/>
      <c r="E3" s="95" t="s">
        <v>213</v>
      </c>
      <c r="F3" s="30" t="s">
        <v>108</v>
      </c>
    </row>
    <row r="4" spans="1:6" ht="18" x14ac:dyDescent="0.25">
      <c r="A4" s="28"/>
      <c r="B4" s="28"/>
      <c r="C4" s="28"/>
      <c r="D4" s="31" t="s">
        <v>4</v>
      </c>
      <c r="E4" s="99"/>
      <c r="F4" s="30"/>
    </row>
    <row r="5" spans="1:6" ht="18" x14ac:dyDescent="0.25">
      <c r="A5" s="28"/>
      <c r="B5" s="28"/>
      <c r="C5" s="28"/>
      <c r="D5" s="29"/>
      <c r="E5" s="99"/>
      <c r="F5" s="30"/>
    </row>
    <row r="6" spans="1:6" ht="30" customHeight="1" x14ac:dyDescent="0.25">
      <c r="A6" s="32">
        <v>1</v>
      </c>
      <c r="B6" s="33" t="s">
        <v>86</v>
      </c>
      <c r="C6" s="33" t="s">
        <v>87</v>
      </c>
      <c r="D6" s="34" t="s">
        <v>52</v>
      </c>
      <c r="E6" s="35">
        <v>15000</v>
      </c>
      <c r="F6" s="36"/>
    </row>
    <row r="7" spans="1:6" ht="30" customHeight="1" x14ac:dyDescent="0.25">
      <c r="A7" s="32">
        <v>2</v>
      </c>
      <c r="B7" s="33" t="s">
        <v>88</v>
      </c>
      <c r="C7" s="33" t="s">
        <v>89</v>
      </c>
      <c r="D7" s="34" t="s">
        <v>52</v>
      </c>
      <c r="E7" s="35">
        <v>15000</v>
      </c>
      <c r="F7" s="36"/>
    </row>
    <row r="8" spans="1:6" ht="30" customHeight="1" x14ac:dyDescent="0.25">
      <c r="A8" s="37">
        <v>3</v>
      </c>
      <c r="B8" s="33" t="s">
        <v>90</v>
      </c>
      <c r="C8" s="33" t="s">
        <v>91</v>
      </c>
      <c r="D8" s="34" t="s">
        <v>7</v>
      </c>
      <c r="E8" s="35">
        <v>10000</v>
      </c>
      <c r="F8" s="36"/>
    </row>
    <row r="9" spans="1:6" ht="30" customHeight="1" x14ac:dyDescent="0.25">
      <c r="A9" s="32">
        <v>4</v>
      </c>
      <c r="B9" s="33" t="s">
        <v>92</v>
      </c>
      <c r="C9" s="33" t="s">
        <v>93</v>
      </c>
      <c r="D9" s="34" t="s">
        <v>52</v>
      </c>
      <c r="E9" s="35">
        <v>5000</v>
      </c>
      <c r="F9" s="36"/>
    </row>
    <row r="10" spans="1:6" ht="30" customHeight="1" x14ac:dyDescent="0.25">
      <c r="A10" s="32">
        <v>5</v>
      </c>
      <c r="B10" s="33" t="s">
        <v>94</v>
      </c>
      <c r="C10" s="33" t="s">
        <v>95</v>
      </c>
      <c r="D10" s="34" t="s">
        <v>23</v>
      </c>
      <c r="E10" s="35">
        <v>5000</v>
      </c>
      <c r="F10" s="36"/>
    </row>
    <row r="11" spans="1:6" ht="30" customHeight="1" x14ac:dyDescent="0.25">
      <c r="A11" s="37">
        <v>6</v>
      </c>
      <c r="B11" s="38" t="s">
        <v>96</v>
      </c>
      <c r="C11" s="33" t="s">
        <v>97</v>
      </c>
      <c r="D11" s="34" t="s">
        <v>7</v>
      </c>
      <c r="E11" s="35">
        <v>5000</v>
      </c>
      <c r="F11" s="36"/>
    </row>
    <row r="12" spans="1:6" ht="30" customHeight="1" x14ac:dyDescent="0.25">
      <c r="A12" s="32">
        <v>7</v>
      </c>
      <c r="B12" s="33" t="s">
        <v>98</v>
      </c>
      <c r="C12" s="33" t="s">
        <v>99</v>
      </c>
      <c r="D12" s="34" t="s">
        <v>52</v>
      </c>
      <c r="E12" s="35">
        <v>5000</v>
      </c>
      <c r="F12" s="36"/>
    </row>
    <row r="13" spans="1:6" ht="30" customHeight="1" x14ac:dyDescent="0.25">
      <c r="A13" s="32">
        <v>8</v>
      </c>
      <c r="B13" s="33" t="s">
        <v>100</v>
      </c>
      <c r="C13" s="33" t="s">
        <v>101</v>
      </c>
      <c r="D13" s="34" t="s">
        <v>52</v>
      </c>
      <c r="E13" s="35">
        <v>15000</v>
      </c>
      <c r="F13" s="36"/>
    </row>
    <row r="14" spans="1:6" ht="30" customHeight="1" x14ac:dyDescent="0.25">
      <c r="A14" s="37">
        <v>9</v>
      </c>
      <c r="B14" s="39" t="s">
        <v>102</v>
      </c>
      <c r="C14" s="40" t="s">
        <v>103</v>
      </c>
      <c r="D14" s="41" t="s">
        <v>52</v>
      </c>
      <c r="E14" s="42">
        <v>10000</v>
      </c>
      <c r="F14" s="36"/>
    </row>
    <row r="15" spans="1:6" ht="30" customHeight="1" x14ac:dyDescent="0.25">
      <c r="A15" s="32">
        <v>10</v>
      </c>
      <c r="B15" s="33" t="s">
        <v>104</v>
      </c>
      <c r="C15" s="33" t="s">
        <v>105</v>
      </c>
      <c r="D15" s="34" t="s">
        <v>119</v>
      </c>
      <c r="E15" s="35">
        <v>25000</v>
      </c>
      <c r="F15" s="36"/>
    </row>
    <row r="16" spans="1:6" ht="30" customHeight="1" x14ac:dyDescent="0.25">
      <c r="A16" s="32">
        <v>11</v>
      </c>
      <c r="B16" s="105" t="s">
        <v>215</v>
      </c>
      <c r="C16" s="33" t="s">
        <v>105</v>
      </c>
      <c r="D16" s="106">
        <v>4</v>
      </c>
      <c r="E16" s="126">
        <v>20000</v>
      </c>
      <c r="F16" s="36"/>
    </row>
    <row r="17" spans="1:6" ht="30" customHeight="1" x14ac:dyDescent="0.25">
      <c r="A17" s="37">
        <v>12</v>
      </c>
      <c r="B17" s="43" t="s">
        <v>106</v>
      </c>
      <c r="C17" s="33" t="s">
        <v>107</v>
      </c>
      <c r="D17" s="34" t="s">
        <v>151</v>
      </c>
      <c r="E17" s="44">
        <v>34000</v>
      </c>
      <c r="F17" s="45"/>
    </row>
    <row r="18" spans="1:6" ht="15.75" x14ac:dyDescent="0.25">
      <c r="A18" s="45"/>
      <c r="B18" s="45"/>
      <c r="C18" s="45"/>
      <c r="D18" s="45"/>
      <c r="E18" s="46">
        <f>SUM(E6:E17)</f>
        <v>164000</v>
      </c>
      <c r="F18" s="45"/>
    </row>
  </sheetData>
  <mergeCells count="6">
    <mergeCell ref="A1:F1"/>
    <mergeCell ref="A3:A5"/>
    <mergeCell ref="B3:B5"/>
    <mergeCell ref="C3:C5"/>
    <mergeCell ref="E3:E5"/>
    <mergeCell ref="F3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95189-3CAC-4FDB-ADA0-0809CD8B1184}">
  <dimension ref="A1:F48"/>
  <sheetViews>
    <sheetView workbookViewId="0">
      <selection activeCell="D48" sqref="D48"/>
    </sheetView>
  </sheetViews>
  <sheetFormatPr defaultRowHeight="15" x14ac:dyDescent="0.25"/>
  <cols>
    <col min="1" max="1" width="6.5703125" customWidth="1"/>
    <col min="2" max="2" width="37.7109375" customWidth="1"/>
    <col min="3" max="3" width="36" customWidth="1"/>
    <col min="5" max="5" width="19.42578125" customWidth="1"/>
    <col min="6" max="6" width="30.5703125" customWidth="1"/>
  </cols>
  <sheetData>
    <row r="1" spans="1:6" ht="23.25" x14ac:dyDescent="0.25">
      <c r="A1" s="127" t="s">
        <v>216</v>
      </c>
      <c r="B1" s="127"/>
      <c r="C1" s="127"/>
      <c r="D1" s="127"/>
      <c r="E1" s="127"/>
      <c r="F1" s="1"/>
    </row>
    <row r="2" spans="1:6" ht="23.25" x14ac:dyDescent="0.35">
      <c r="A2" s="27"/>
      <c r="B2" s="27"/>
      <c r="C2" s="27"/>
      <c r="D2" s="27"/>
      <c r="E2" s="27"/>
      <c r="F2" s="128"/>
    </row>
    <row r="3" spans="1:6" ht="15.75" x14ac:dyDescent="0.25">
      <c r="A3" s="116" t="s">
        <v>0</v>
      </c>
      <c r="B3" s="116" t="s">
        <v>1</v>
      </c>
      <c r="C3" s="116" t="s">
        <v>2</v>
      </c>
      <c r="D3" s="117"/>
      <c r="E3" s="95" t="s">
        <v>213</v>
      </c>
      <c r="F3" s="24" t="s">
        <v>83</v>
      </c>
    </row>
    <row r="4" spans="1:6" ht="15.75" x14ac:dyDescent="0.25">
      <c r="A4" s="116"/>
      <c r="B4" s="116"/>
      <c r="C4" s="116"/>
      <c r="D4" s="54" t="s">
        <v>4</v>
      </c>
      <c r="E4" s="99"/>
      <c r="F4" s="24"/>
    </row>
    <row r="5" spans="1:6" ht="15.75" x14ac:dyDescent="0.25">
      <c r="A5" s="116"/>
      <c r="B5" s="116"/>
      <c r="C5" s="116"/>
      <c r="D5" s="54"/>
      <c r="E5" s="99"/>
      <c r="F5" s="24"/>
    </row>
    <row r="6" spans="1:6" ht="27.75" customHeight="1" x14ac:dyDescent="0.25">
      <c r="A6" s="129">
        <v>1</v>
      </c>
      <c r="B6" s="36"/>
      <c r="C6" s="130" t="s">
        <v>217</v>
      </c>
      <c r="D6" s="36"/>
      <c r="E6" s="36"/>
      <c r="F6" s="131"/>
    </row>
    <row r="7" spans="1:6" ht="36.75" customHeight="1" x14ac:dyDescent="0.25">
      <c r="A7" s="132">
        <v>1</v>
      </c>
      <c r="B7" s="17" t="s">
        <v>218</v>
      </c>
      <c r="C7" s="17" t="s">
        <v>219</v>
      </c>
      <c r="D7" s="133" t="s">
        <v>270</v>
      </c>
      <c r="E7" s="134">
        <v>8500</v>
      </c>
      <c r="F7" s="135"/>
    </row>
    <row r="8" spans="1:6" ht="36.75" customHeight="1" x14ac:dyDescent="0.25">
      <c r="A8" s="132">
        <v>2</v>
      </c>
      <c r="B8" s="17" t="s">
        <v>264</v>
      </c>
      <c r="C8" s="17" t="s">
        <v>220</v>
      </c>
      <c r="D8" s="133" t="s">
        <v>270</v>
      </c>
      <c r="E8" s="134">
        <v>8500</v>
      </c>
      <c r="F8" s="135"/>
    </row>
    <row r="9" spans="1:6" ht="36.75" customHeight="1" x14ac:dyDescent="0.25">
      <c r="A9" s="132">
        <v>3</v>
      </c>
      <c r="B9" s="17" t="s">
        <v>221</v>
      </c>
      <c r="C9" s="17" t="s">
        <v>222</v>
      </c>
      <c r="D9" s="133" t="s">
        <v>270</v>
      </c>
      <c r="E9" s="134">
        <v>8500</v>
      </c>
      <c r="F9" s="135"/>
    </row>
    <row r="10" spans="1:6" ht="36.75" customHeight="1" x14ac:dyDescent="0.25">
      <c r="A10" s="132">
        <v>4</v>
      </c>
      <c r="B10" s="17" t="s">
        <v>165</v>
      </c>
      <c r="C10" s="17" t="s">
        <v>223</v>
      </c>
      <c r="D10" s="133" t="s">
        <v>270</v>
      </c>
      <c r="E10" s="134">
        <v>8500</v>
      </c>
      <c r="F10" s="135"/>
    </row>
    <row r="11" spans="1:6" ht="36.75" customHeight="1" x14ac:dyDescent="0.25">
      <c r="A11" s="132">
        <v>5</v>
      </c>
      <c r="B11" s="17" t="s">
        <v>224</v>
      </c>
      <c r="C11" s="17" t="s">
        <v>225</v>
      </c>
      <c r="D11" s="133" t="s">
        <v>266</v>
      </c>
      <c r="E11" s="134">
        <v>15000</v>
      </c>
      <c r="F11" s="135"/>
    </row>
    <row r="12" spans="1:6" ht="36.75" customHeight="1" x14ac:dyDescent="0.25">
      <c r="A12" s="132">
        <v>6</v>
      </c>
      <c r="B12" s="17" t="s">
        <v>265</v>
      </c>
      <c r="C12" s="17" t="s">
        <v>226</v>
      </c>
      <c r="D12" s="133" t="s">
        <v>266</v>
      </c>
      <c r="E12" s="134">
        <v>15000</v>
      </c>
      <c r="F12" s="135"/>
    </row>
    <row r="13" spans="1:6" ht="36.75" customHeight="1" x14ac:dyDescent="0.25">
      <c r="A13" s="132">
        <v>7</v>
      </c>
      <c r="B13" s="17" t="s">
        <v>227</v>
      </c>
      <c r="C13" s="17" t="s">
        <v>228</v>
      </c>
      <c r="D13" s="133" t="s">
        <v>266</v>
      </c>
      <c r="E13" s="134">
        <v>10000</v>
      </c>
      <c r="F13" s="135"/>
    </row>
    <row r="14" spans="1:6" ht="36.75" customHeight="1" x14ac:dyDescent="0.25">
      <c r="A14" s="132">
        <v>8</v>
      </c>
      <c r="B14" s="17" t="s">
        <v>267</v>
      </c>
      <c r="C14" s="17" t="s">
        <v>229</v>
      </c>
      <c r="D14" s="133" t="s">
        <v>128</v>
      </c>
      <c r="E14" s="134">
        <v>20000</v>
      </c>
      <c r="F14" s="135"/>
    </row>
    <row r="15" spans="1:6" ht="36.75" customHeight="1" x14ac:dyDescent="0.25">
      <c r="A15" s="132">
        <v>9</v>
      </c>
      <c r="B15" s="17" t="s">
        <v>268</v>
      </c>
      <c r="C15" s="17" t="s">
        <v>230</v>
      </c>
      <c r="D15" s="133" t="s">
        <v>128</v>
      </c>
      <c r="E15" s="134">
        <v>15000</v>
      </c>
      <c r="F15" s="135"/>
    </row>
    <row r="16" spans="1:6" ht="36.75" customHeight="1" x14ac:dyDescent="0.25">
      <c r="A16" s="136">
        <v>10</v>
      </c>
      <c r="B16" s="137" t="s">
        <v>269</v>
      </c>
      <c r="C16" s="137" t="s">
        <v>229</v>
      </c>
      <c r="D16" s="138" t="s">
        <v>114</v>
      </c>
      <c r="E16" s="139">
        <v>37500</v>
      </c>
      <c r="F16" s="140"/>
    </row>
    <row r="17" spans="1:6" ht="36.75" customHeight="1" x14ac:dyDescent="0.25">
      <c r="A17" s="136">
        <v>11</v>
      </c>
      <c r="B17" s="137" t="s">
        <v>272</v>
      </c>
      <c r="C17" s="137" t="s">
        <v>229</v>
      </c>
      <c r="D17" s="138" t="s">
        <v>114</v>
      </c>
      <c r="E17" s="139">
        <v>37500</v>
      </c>
      <c r="F17" s="140"/>
    </row>
    <row r="18" spans="1:6" ht="36.75" customHeight="1" x14ac:dyDescent="0.25">
      <c r="A18" s="141"/>
      <c r="B18" s="142"/>
      <c r="C18" s="142"/>
      <c r="D18" s="143"/>
      <c r="E18" s="144">
        <f>SUM(E7:E17)</f>
        <v>184000</v>
      </c>
      <c r="F18" s="145"/>
    </row>
    <row r="19" spans="1:6" ht="15.75" x14ac:dyDescent="0.25">
      <c r="A19" s="146"/>
      <c r="B19" s="147"/>
      <c r="C19" s="147"/>
      <c r="D19" s="147"/>
      <c r="E19" s="147"/>
      <c r="F19" s="147"/>
    </row>
    <row r="20" spans="1:6" ht="18" x14ac:dyDescent="0.25">
      <c r="A20" s="148" t="s">
        <v>231</v>
      </c>
      <c r="B20" s="149"/>
      <c r="C20" s="149"/>
      <c r="D20" s="149"/>
      <c r="E20" s="149"/>
      <c r="F20" s="149"/>
    </row>
    <row r="21" spans="1:6" ht="18" x14ac:dyDescent="0.25">
      <c r="A21" s="150"/>
      <c r="B21" s="150"/>
      <c r="C21" s="150"/>
      <c r="D21" s="150"/>
      <c r="E21" s="150"/>
      <c r="F21" s="150"/>
    </row>
    <row r="22" spans="1:6" ht="15.75" x14ac:dyDescent="0.25">
      <c r="A22" s="45"/>
      <c r="B22" s="45"/>
      <c r="C22" s="45"/>
      <c r="D22" s="45"/>
      <c r="E22" s="45"/>
      <c r="F22" s="96" t="s">
        <v>85</v>
      </c>
    </row>
    <row r="23" spans="1:6" ht="15.75" x14ac:dyDescent="0.25">
      <c r="A23" s="116" t="s">
        <v>0</v>
      </c>
      <c r="B23" s="116" t="s">
        <v>1</v>
      </c>
      <c r="C23" s="116" t="s">
        <v>2</v>
      </c>
      <c r="D23" s="117"/>
      <c r="E23" s="24" t="s">
        <v>3</v>
      </c>
      <c r="F23" s="96"/>
    </row>
    <row r="24" spans="1:6" ht="15.75" x14ac:dyDescent="0.25">
      <c r="A24" s="116"/>
      <c r="B24" s="116"/>
      <c r="C24" s="116"/>
      <c r="D24" s="54" t="s">
        <v>4</v>
      </c>
      <c r="E24" s="24"/>
      <c r="F24" s="96"/>
    </row>
    <row r="25" spans="1:6" ht="15.75" x14ac:dyDescent="0.25">
      <c r="A25" s="116"/>
      <c r="B25" s="116"/>
      <c r="C25" s="116"/>
      <c r="D25" s="54"/>
      <c r="E25" s="24"/>
      <c r="F25" s="12"/>
    </row>
    <row r="26" spans="1:6" ht="18.75" x14ac:dyDescent="0.25">
      <c r="A26" s="151">
        <v>2</v>
      </c>
      <c r="B26" s="152"/>
      <c r="C26" s="153" t="s">
        <v>232</v>
      </c>
      <c r="D26" s="36"/>
      <c r="E26" s="36"/>
      <c r="F26" s="131"/>
    </row>
    <row r="27" spans="1:6" ht="25.5" customHeight="1" x14ac:dyDescent="0.25">
      <c r="A27" s="132">
        <v>1</v>
      </c>
      <c r="B27" s="17" t="s">
        <v>233</v>
      </c>
      <c r="C27" s="17" t="s">
        <v>234</v>
      </c>
      <c r="D27" s="133" t="s">
        <v>273</v>
      </c>
      <c r="E27" s="134">
        <v>15000</v>
      </c>
      <c r="F27" s="135"/>
    </row>
    <row r="28" spans="1:6" ht="25.5" customHeight="1" x14ac:dyDescent="0.25">
      <c r="A28" s="132">
        <v>2</v>
      </c>
      <c r="B28" s="17" t="s">
        <v>235</v>
      </c>
      <c r="C28" s="17" t="s">
        <v>236</v>
      </c>
      <c r="D28" s="133" t="s">
        <v>273</v>
      </c>
      <c r="E28" s="134">
        <v>10000</v>
      </c>
      <c r="F28" s="135"/>
    </row>
    <row r="29" spans="1:6" ht="25.5" customHeight="1" x14ac:dyDescent="0.25">
      <c r="A29" s="132">
        <v>3</v>
      </c>
      <c r="B29" s="17" t="s">
        <v>237</v>
      </c>
      <c r="C29" s="17" t="s">
        <v>238</v>
      </c>
      <c r="D29" s="133" t="s">
        <v>128</v>
      </c>
      <c r="E29" s="134">
        <v>15000</v>
      </c>
      <c r="F29" s="135"/>
    </row>
    <row r="30" spans="1:6" ht="25.5" customHeight="1" x14ac:dyDescent="0.25">
      <c r="A30" s="132">
        <v>4</v>
      </c>
      <c r="B30" s="17" t="s">
        <v>239</v>
      </c>
      <c r="C30" s="17" t="s">
        <v>240</v>
      </c>
      <c r="D30" s="133" t="s">
        <v>128</v>
      </c>
      <c r="E30" s="134">
        <v>15000</v>
      </c>
      <c r="F30" s="135"/>
    </row>
    <row r="31" spans="1:6" ht="25.5" customHeight="1" x14ac:dyDescent="0.25">
      <c r="A31" s="132">
        <v>5</v>
      </c>
      <c r="B31" s="17" t="s">
        <v>241</v>
      </c>
      <c r="C31" s="17" t="s">
        <v>240</v>
      </c>
      <c r="D31" s="133" t="s">
        <v>128</v>
      </c>
      <c r="E31" s="134">
        <v>15000</v>
      </c>
      <c r="F31" s="135"/>
    </row>
    <row r="32" spans="1:6" ht="25.5" customHeight="1" x14ac:dyDescent="0.25">
      <c r="A32" s="132">
        <v>6</v>
      </c>
      <c r="B32" s="17" t="s">
        <v>242</v>
      </c>
      <c r="C32" s="17" t="s">
        <v>240</v>
      </c>
      <c r="D32" s="133" t="s">
        <v>119</v>
      </c>
      <c r="E32" s="134">
        <v>15000</v>
      </c>
      <c r="F32" s="135"/>
    </row>
    <row r="33" spans="1:6" ht="25.5" customHeight="1" x14ac:dyDescent="0.25">
      <c r="A33" s="132">
        <v>7</v>
      </c>
      <c r="B33" s="17" t="s">
        <v>102</v>
      </c>
      <c r="C33" s="17" t="s">
        <v>243</v>
      </c>
      <c r="D33" s="133" t="s">
        <v>128</v>
      </c>
      <c r="E33" s="134">
        <v>25000</v>
      </c>
      <c r="F33" s="135"/>
    </row>
    <row r="34" spans="1:6" ht="25.5" customHeight="1" x14ac:dyDescent="0.25">
      <c r="A34" s="132">
        <v>8</v>
      </c>
      <c r="B34" s="17" t="s">
        <v>244</v>
      </c>
      <c r="C34" s="17" t="s">
        <v>245</v>
      </c>
      <c r="D34" s="133" t="s">
        <v>128</v>
      </c>
      <c r="E34" s="134">
        <v>15000</v>
      </c>
      <c r="F34" s="135"/>
    </row>
    <row r="35" spans="1:6" ht="25.5" customHeight="1" x14ac:dyDescent="0.25">
      <c r="A35" s="132">
        <v>9</v>
      </c>
      <c r="B35" s="17" t="s">
        <v>246</v>
      </c>
      <c r="C35" s="17" t="s">
        <v>245</v>
      </c>
      <c r="D35" s="133" t="s">
        <v>128</v>
      </c>
      <c r="E35" s="134">
        <v>15000</v>
      </c>
      <c r="F35" s="135"/>
    </row>
    <row r="36" spans="1:6" ht="25.5" customHeight="1" x14ac:dyDescent="0.25">
      <c r="A36" s="132">
        <v>10</v>
      </c>
      <c r="B36" s="17" t="s">
        <v>247</v>
      </c>
      <c r="C36" s="17" t="s">
        <v>245</v>
      </c>
      <c r="D36" s="133" t="s">
        <v>128</v>
      </c>
      <c r="E36" s="134">
        <v>15000</v>
      </c>
      <c r="F36" s="135"/>
    </row>
    <row r="37" spans="1:6" ht="25.5" customHeight="1" x14ac:dyDescent="0.25">
      <c r="A37" s="132">
        <v>11</v>
      </c>
      <c r="B37" s="17" t="s">
        <v>248</v>
      </c>
      <c r="C37" s="17" t="s">
        <v>245</v>
      </c>
      <c r="D37" s="133" t="s">
        <v>128</v>
      </c>
      <c r="E37" s="134">
        <v>15000</v>
      </c>
      <c r="F37" s="135"/>
    </row>
    <row r="38" spans="1:6" ht="25.5" customHeight="1" x14ac:dyDescent="0.25">
      <c r="A38" s="132">
        <v>12</v>
      </c>
      <c r="B38" s="17" t="s">
        <v>249</v>
      </c>
      <c r="C38" s="17" t="s">
        <v>250</v>
      </c>
      <c r="D38" s="154" t="s">
        <v>266</v>
      </c>
      <c r="E38" s="155">
        <v>10000</v>
      </c>
      <c r="F38" s="135"/>
    </row>
    <row r="39" spans="1:6" ht="25.5" customHeight="1" x14ac:dyDescent="0.25">
      <c r="A39" s="132">
        <v>13</v>
      </c>
      <c r="B39" s="17" t="s">
        <v>251</v>
      </c>
      <c r="C39" s="17" t="s">
        <v>252</v>
      </c>
      <c r="D39" s="133" t="s">
        <v>128</v>
      </c>
      <c r="E39" s="134">
        <v>15000</v>
      </c>
      <c r="F39" s="135"/>
    </row>
    <row r="40" spans="1:6" ht="25.5" customHeight="1" x14ac:dyDescent="0.25">
      <c r="A40" s="132">
        <v>14</v>
      </c>
      <c r="B40" s="17" t="s">
        <v>253</v>
      </c>
      <c r="C40" s="156" t="s">
        <v>254</v>
      </c>
      <c r="D40" s="133" t="s">
        <v>128</v>
      </c>
      <c r="E40" s="134">
        <v>15000</v>
      </c>
      <c r="F40" s="135"/>
    </row>
    <row r="41" spans="1:6" ht="25.5" customHeight="1" x14ac:dyDescent="0.25">
      <c r="A41" s="132">
        <v>15</v>
      </c>
      <c r="B41" s="17" t="s">
        <v>255</v>
      </c>
      <c r="C41" s="17" t="s">
        <v>254</v>
      </c>
      <c r="D41" s="133" t="s">
        <v>128</v>
      </c>
      <c r="E41" s="134">
        <v>15000</v>
      </c>
      <c r="F41" s="135"/>
    </row>
    <row r="42" spans="1:6" ht="25.5" customHeight="1" x14ac:dyDescent="0.25">
      <c r="A42" s="132">
        <v>16</v>
      </c>
      <c r="B42" s="17" t="s">
        <v>92</v>
      </c>
      <c r="C42" s="17" t="s">
        <v>254</v>
      </c>
      <c r="D42" s="133" t="s">
        <v>128</v>
      </c>
      <c r="E42" s="134">
        <v>15000</v>
      </c>
      <c r="F42" s="135"/>
    </row>
    <row r="43" spans="1:6" ht="25.5" customHeight="1" x14ac:dyDescent="0.25">
      <c r="A43" s="132">
        <v>17</v>
      </c>
      <c r="B43" s="17" t="s">
        <v>256</v>
      </c>
      <c r="C43" s="17" t="s">
        <v>257</v>
      </c>
      <c r="D43" s="133" t="s">
        <v>266</v>
      </c>
      <c r="E43" s="134">
        <v>7500</v>
      </c>
      <c r="F43" s="135"/>
    </row>
    <row r="44" spans="1:6" ht="25.5" customHeight="1" x14ac:dyDescent="0.25">
      <c r="A44" s="132">
        <v>18</v>
      </c>
      <c r="B44" s="17" t="s">
        <v>258</v>
      </c>
      <c r="C44" s="17" t="s">
        <v>257</v>
      </c>
      <c r="D44" s="133" t="s">
        <v>119</v>
      </c>
      <c r="E44" s="134">
        <v>15000</v>
      </c>
      <c r="F44" s="152"/>
    </row>
    <row r="45" spans="1:6" ht="25.5" customHeight="1" x14ac:dyDescent="0.25">
      <c r="A45" s="132">
        <v>19</v>
      </c>
      <c r="B45" s="17" t="s">
        <v>259</v>
      </c>
      <c r="C45" s="17" t="s">
        <v>260</v>
      </c>
      <c r="D45" s="133" t="s">
        <v>273</v>
      </c>
      <c r="E45" s="134">
        <v>10000</v>
      </c>
      <c r="F45" s="152"/>
    </row>
    <row r="46" spans="1:6" ht="25.5" customHeight="1" x14ac:dyDescent="0.25">
      <c r="A46" s="132">
        <v>20</v>
      </c>
      <c r="B46" s="17" t="s">
        <v>261</v>
      </c>
      <c r="C46" s="17" t="s">
        <v>168</v>
      </c>
      <c r="D46" s="133" t="s">
        <v>128</v>
      </c>
      <c r="E46" s="134">
        <v>15000</v>
      </c>
      <c r="F46" s="152"/>
    </row>
    <row r="47" spans="1:6" ht="25.5" customHeight="1" x14ac:dyDescent="0.25">
      <c r="A47" s="132">
        <v>21</v>
      </c>
      <c r="B47" s="17" t="s">
        <v>262</v>
      </c>
      <c r="C47" s="17" t="s">
        <v>263</v>
      </c>
      <c r="D47" s="133" t="s">
        <v>128</v>
      </c>
      <c r="E47" s="134">
        <v>15000</v>
      </c>
      <c r="F47" s="152"/>
    </row>
    <row r="48" spans="1:6" ht="25.5" customHeight="1" x14ac:dyDescent="0.25">
      <c r="A48" s="157"/>
      <c r="B48" s="158"/>
      <c r="C48" s="158"/>
      <c r="D48" s="158"/>
      <c r="E48" s="159">
        <f>SUM(E27:E47)</f>
        <v>302500</v>
      </c>
      <c r="F48" s="158"/>
    </row>
  </sheetData>
  <mergeCells count="12">
    <mergeCell ref="A19:F19"/>
    <mergeCell ref="A20:F20"/>
    <mergeCell ref="F22:F24"/>
    <mergeCell ref="A23:A25"/>
    <mergeCell ref="B23:B25"/>
    <mergeCell ref="C23:C25"/>
    <mergeCell ref="E23:E25"/>
    <mergeCell ref="A3:A5"/>
    <mergeCell ref="B3:B5"/>
    <mergeCell ref="C3:C5"/>
    <mergeCell ref="E3:E5"/>
    <mergeCell ref="F3:F5"/>
  </mergeCells>
  <phoneticPr fontId="2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967D2-8BF5-4113-A7C6-783F9C01A705}">
  <dimension ref="A1:F16"/>
  <sheetViews>
    <sheetView workbookViewId="0">
      <selection activeCell="I9" sqref="I9"/>
    </sheetView>
  </sheetViews>
  <sheetFormatPr defaultRowHeight="15" x14ac:dyDescent="0.25"/>
  <cols>
    <col min="1" max="1" width="5.85546875" customWidth="1"/>
    <col min="2" max="2" width="23.42578125" customWidth="1"/>
    <col min="3" max="3" width="40" customWidth="1"/>
    <col min="5" max="5" width="14.5703125" customWidth="1"/>
    <col min="6" max="6" width="19" customWidth="1"/>
  </cols>
  <sheetData>
    <row r="1" spans="1:6" ht="18" x14ac:dyDescent="0.25">
      <c r="A1" s="26" t="s">
        <v>109</v>
      </c>
      <c r="B1" s="26"/>
      <c r="C1" s="26"/>
      <c r="D1" s="26"/>
      <c r="E1" s="26"/>
      <c r="F1" s="26"/>
    </row>
    <row r="2" spans="1:6" ht="18" x14ac:dyDescent="0.25">
      <c r="A2" s="27"/>
      <c r="B2" s="27"/>
      <c r="C2" s="27"/>
      <c r="D2" s="47"/>
      <c r="E2" s="47"/>
      <c r="F2" s="47"/>
    </row>
    <row r="3" spans="1:6" ht="15.75" x14ac:dyDescent="0.25">
      <c r="A3" s="4" t="s">
        <v>0</v>
      </c>
      <c r="B3" s="4" t="s">
        <v>1</v>
      </c>
      <c r="C3" s="4" t="s">
        <v>2</v>
      </c>
      <c r="D3" s="48"/>
      <c r="E3" s="95" t="s">
        <v>213</v>
      </c>
      <c r="F3" s="49" t="s">
        <v>83</v>
      </c>
    </row>
    <row r="4" spans="1:6" ht="15.75" x14ac:dyDescent="0.25">
      <c r="A4" s="7"/>
      <c r="B4" s="7"/>
      <c r="C4" s="7"/>
      <c r="D4" s="50" t="s">
        <v>4</v>
      </c>
      <c r="E4" s="99"/>
      <c r="F4" s="51"/>
    </row>
    <row r="5" spans="1:6" ht="15.75" x14ac:dyDescent="0.25">
      <c r="A5" s="10"/>
      <c r="B5" s="10"/>
      <c r="C5" s="10"/>
      <c r="D5" s="11"/>
      <c r="E5" s="99"/>
      <c r="F5" s="52"/>
    </row>
    <row r="6" spans="1:6" ht="15.75" x14ac:dyDescent="0.25">
      <c r="A6" s="54">
        <v>1</v>
      </c>
      <c r="B6" s="54">
        <v>2</v>
      </c>
      <c r="C6" s="54">
        <v>3</v>
      </c>
      <c r="D6" s="54">
        <v>4</v>
      </c>
      <c r="E6" s="55">
        <v>5</v>
      </c>
      <c r="F6" s="55">
        <v>7</v>
      </c>
    </row>
    <row r="7" spans="1:6" ht="27" customHeight="1" x14ac:dyDescent="0.25">
      <c r="A7" s="32">
        <v>1</v>
      </c>
      <c r="B7" s="39" t="s">
        <v>110</v>
      </c>
      <c r="C7" s="40" t="s">
        <v>111</v>
      </c>
      <c r="D7" s="41" t="s">
        <v>151</v>
      </c>
      <c r="E7" s="42">
        <v>6600</v>
      </c>
      <c r="F7" s="36"/>
    </row>
    <row r="8" spans="1:6" ht="39" customHeight="1" x14ac:dyDescent="0.25">
      <c r="A8" s="56">
        <v>2</v>
      </c>
      <c r="B8" s="57" t="s">
        <v>112</v>
      </c>
      <c r="C8" s="58" t="s">
        <v>113</v>
      </c>
      <c r="D8" s="59" t="s">
        <v>273</v>
      </c>
      <c r="E8" s="60">
        <v>14000</v>
      </c>
      <c r="F8" s="36"/>
    </row>
    <row r="9" spans="1:6" ht="33" customHeight="1" x14ac:dyDescent="0.25">
      <c r="A9" s="56">
        <v>3</v>
      </c>
      <c r="B9" s="57" t="s">
        <v>115</v>
      </c>
      <c r="C9" s="58" t="s">
        <v>116</v>
      </c>
      <c r="D9" s="59" t="s">
        <v>151</v>
      </c>
      <c r="E9" s="60">
        <v>14000</v>
      </c>
      <c r="F9" s="36"/>
    </row>
    <row r="10" spans="1:6" ht="38.25" customHeight="1" x14ac:dyDescent="0.25">
      <c r="A10" s="32">
        <v>4</v>
      </c>
      <c r="B10" s="40" t="s">
        <v>117</v>
      </c>
      <c r="C10" s="39" t="s">
        <v>118</v>
      </c>
      <c r="D10" s="41" t="s">
        <v>151</v>
      </c>
      <c r="E10" s="60">
        <v>14000</v>
      </c>
      <c r="F10" s="36"/>
    </row>
    <row r="11" spans="1:6" ht="27" customHeight="1" x14ac:dyDescent="0.25">
      <c r="A11" s="32">
        <v>5</v>
      </c>
      <c r="B11" s="40" t="s">
        <v>120</v>
      </c>
      <c r="C11" s="40" t="s">
        <v>121</v>
      </c>
      <c r="D11" s="41" t="s">
        <v>151</v>
      </c>
      <c r="E11" s="60">
        <v>14000</v>
      </c>
      <c r="F11" s="36"/>
    </row>
    <row r="12" spans="1:6" ht="31.5" customHeight="1" x14ac:dyDescent="0.25">
      <c r="A12" s="32">
        <v>6</v>
      </c>
      <c r="B12" s="40" t="s">
        <v>122</v>
      </c>
      <c r="C12" s="39" t="s">
        <v>123</v>
      </c>
      <c r="D12" s="41" t="s">
        <v>151</v>
      </c>
      <c r="E12" s="42">
        <v>6600</v>
      </c>
      <c r="F12" s="36"/>
    </row>
    <row r="13" spans="1:6" ht="27" customHeight="1" x14ac:dyDescent="0.25">
      <c r="A13" s="32">
        <v>7</v>
      </c>
      <c r="B13" s="40" t="s">
        <v>124</v>
      </c>
      <c r="C13" s="40" t="s">
        <v>125</v>
      </c>
      <c r="D13" s="41" t="s">
        <v>151</v>
      </c>
      <c r="E13" s="42">
        <v>12000</v>
      </c>
      <c r="F13" s="36"/>
    </row>
    <row r="14" spans="1:6" ht="46.5" customHeight="1" x14ac:dyDescent="0.25">
      <c r="A14" s="32">
        <v>8</v>
      </c>
      <c r="B14" s="40" t="s">
        <v>126</v>
      </c>
      <c r="C14" s="39" t="s">
        <v>127</v>
      </c>
      <c r="D14" s="41" t="s">
        <v>151</v>
      </c>
      <c r="E14" s="42">
        <v>9500</v>
      </c>
      <c r="F14" s="36"/>
    </row>
    <row r="15" spans="1:6" ht="51" customHeight="1" x14ac:dyDescent="0.25">
      <c r="A15" s="32">
        <v>9</v>
      </c>
      <c r="B15" s="40" t="s">
        <v>129</v>
      </c>
      <c r="C15" s="39" t="s">
        <v>130</v>
      </c>
      <c r="D15" s="41" t="s">
        <v>151</v>
      </c>
      <c r="E15" s="42">
        <v>6600</v>
      </c>
      <c r="F15" s="36"/>
    </row>
    <row r="16" spans="1:6" ht="15.75" x14ac:dyDescent="0.25">
      <c r="A16" s="61"/>
      <c r="B16" s="61"/>
      <c r="C16" s="61"/>
      <c r="D16" s="62"/>
      <c r="E16" s="63">
        <f>SUM(E7:E14)</f>
        <v>90700</v>
      </c>
      <c r="F16" s="45"/>
    </row>
  </sheetData>
  <mergeCells count="6">
    <mergeCell ref="A1:F1"/>
    <mergeCell ref="A3:A5"/>
    <mergeCell ref="B3:B5"/>
    <mergeCell ref="C3:C5"/>
    <mergeCell ref="E3:E5"/>
    <mergeCell ref="F3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39B2D-3922-4920-B2E6-45CEF2266A37}">
  <dimension ref="A1:F10"/>
  <sheetViews>
    <sheetView workbookViewId="0">
      <selection activeCell="H8" sqref="H8"/>
    </sheetView>
  </sheetViews>
  <sheetFormatPr defaultRowHeight="15" x14ac:dyDescent="0.25"/>
  <cols>
    <col min="1" max="1" width="5.42578125" customWidth="1"/>
    <col min="2" max="2" width="29.85546875" customWidth="1"/>
    <col min="3" max="3" width="25.28515625" customWidth="1"/>
    <col min="5" max="5" width="18.5703125" customWidth="1"/>
    <col min="6" max="6" width="18.140625" customWidth="1"/>
  </cols>
  <sheetData>
    <row r="1" spans="1:6" ht="18" x14ac:dyDescent="0.25">
      <c r="A1" s="27" t="s">
        <v>139</v>
      </c>
      <c r="B1" s="65"/>
      <c r="C1" s="27"/>
      <c r="D1" s="47"/>
      <c r="E1" s="47"/>
      <c r="F1" s="47"/>
    </row>
    <row r="2" spans="1:6" ht="18" x14ac:dyDescent="0.25">
      <c r="A2" s="66" t="s">
        <v>0</v>
      </c>
      <c r="B2" s="66" t="s">
        <v>1</v>
      </c>
      <c r="C2" s="66" t="s">
        <v>2</v>
      </c>
      <c r="D2" s="67"/>
      <c r="E2" s="95" t="s">
        <v>213</v>
      </c>
      <c r="F2" s="49" t="s">
        <v>83</v>
      </c>
    </row>
    <row r="3" spans="1:6" ht="18" x14ac:dyDescent="0.25">
      <c r="A3" s="68"/>
      <c r="B3" s="68"/>
      <c r="C3" s="68"/>
      <c r="D3" s="69" t="s">
        <v>4</v>
      </c>
      <c r="E3" s="99"/>
      <c r="F3" s="51"/>
    </row>
    <row r="4" spans="1:6" ht="18" x14ac:dyDescent="0.25">
      <c r="A4" s="70"/>
      <c r="B4" s="70"/>
      <c r="C4" s="70"/>
      <c r="D4" s="71"/>
      <c r="E4" s="99"/>
      <c r="F4" s="52"/>
    </row>
    <row r="5" spans="1:6" ht="15.75" x14ac:dyDescent="0.25">
      <c r="A5" s="50">
        <v>1</v>
      </c>
      <c r="B5" s="50">
        <v>2</v>
      </c>
      <c r="C5" s="50">
        <v>3</v>
      </c>
      <c r="D5" s="72">
        <v>4</v>
      </c>
      <c r="E5" s="73">
        <v>5</v>
      </c>
      <c r="F5" s="73">
        <v>7</v>
      </c>
    </row>
    <row r="6" spans="1:6" ht="60.75" customHeight="1" x14ac:dyDescent="0.25">
      <c r="A6" s="74">
        <v>1</v>
      </c>
      <c r="B6" s="75" t="s">
        <v>131</v>
      </c>
      <c r="C6" s="76" t="s">
        <v>132</v>
      </c>
      <c r="D6" s="41" t="s">
        <v>151</v>
      </c>
      <c r="E6" s="42">
        <v>14000</v>
      </c>
      <c r="F6" s="36"/>
    </row>
    <row r="7" spans="1:6" ht="60.75" customHeight="1" x14ac:dyDescent="0.25">
      <c r="A7" s="74">
        <v>2</v>
      </c>
      <c r="B7" s="76" t="s">
        <v>133</v>
      </c>
      <c r="C7" s="77" t="s">
        <v>134</v>
      </c>
      <c r="D7" s="41" t="s">
        <v>151</v>
      </c>
      <c r="E7" s="42">
        <v>14000</v>
      </c>
      <c r="F7" s="36"/>
    </row>
    <row r="8" spans="1:6" ht="60.75" customHeight="1" x14ac:dyDescent="0.25">
      <c r="A8" s="74">
        <v>3</v>
      </c>
      <c r="B8" s="75" t="s">
        <v>135</v>
      </c>
      <c r="C8" s="76" t="s">
        <v>136</v>
      </c>
      <c r="D8" s="41" t="s">
        <v>270</v>
      </c>
      <c r="E8" s="42">
        <v>6500</v>
      </c>
      <c r="F8" s="36"/>
    </row>
    <row r="9" spans="1:6" ht="60.75" customHeight="1" x14ac:dyDescent="0.25">
      <c r="A9" s="74">
        <v>4</v>
      </c>
      <c r="B9" s="76" t="s">
        <v>137</v>
      </c>
      <c r="C9" s="78" t="s">
        <v>138</v>
      </c>
      <c r="D9" s="41" t="s">
        <v>270</v>
      </c>
      <c r="E9" s="42">
        <v>6500</v>
      </c>
      <c r="F9" s="36"/>
    </row>
    <row r="10" spans="1:6" ht="60.75" customHeight="1" x14ac:dyDescent="0.25">
      <c r="A10" s="45"/>
      <c r="B10" s="45"/>
      <c r="C10" s="45"/>
      <c r="D10" s="79"/>
      <c r="E10" s="46">
        <f>SUM(E6:E9)</f>
        <v>41000</v>
      </c>
      <c r="F10" s="45"/>
    </row>
  </sheetData>
  <mergeCells count="5">
    <mergeCell ref="A2:A4"/>
    <mergeCell ref="B2:B4"/>
    <mergeCell ref="C2:C4"/>
    <mergeCell ref="E2:E4"/>
    <mergeCell ref="F2:F4"/>
  </mergeCells>
  <phoneticPr fontId="2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ADC4-1FBC-44F9-937B-1414365E0BB6}">
  <dimension ref="A1:F10"/>
  <sheetViews>
    <sheetView workbookViewId="0">
      <selection activeCell="E3" sqref="E3:E5"/>
    </sheetView>
  </sheetViews>
  <sheetFormatPr defaultRowHeight="15" x14ac:dyDescent="0.25"/>
  <cols>
    <col min="1" max="1" width="6" customWidth="1"/>
    <col min="2" max="2" width="14.5703125" customWidth="1"/>
    <col min="3" max="3" width="22" customWidth="1"/>
    <col min="5" max="5" width="15.42578125" customWidth="1"/>
    <col min="6" max="6" width="23.85546875" customWidth="1"/>
  </cols>
  <sheetData>
    <row r="1" spans="1:6" ht="20.25" x14ac:dyDescent="0.25">
      <c r="A1" s="80" t="s">
        <v>140</v>
      </c>
      <c r="B1" s="80"/>
      <c r="C1" s="80"/>
      <c r="D1" s="80"/>
      <c r="E1" s="80"/>
      <c r="F1" s="80"/>
    </row>
    <row r="2" spans="1:6" ht="18" x14ac:dyDescent="0.25">
      <c r="A2" s="27"/>
      <c r="B2" s="27"/>
      <c r="C2" s="27"/>
      <c r="D2" s="81"/>
      <c r="E2" s="81"/>
      <c r="F2" s="81"/>
    </row>
    <row r="3" spans="1:6" ht="15.75" x14ac:dyDescent="0.25">
      <c r="A3" s="4" t="s">
        <v>0</v>
      </c>
      <c r="B3" s="4" t="s">
        <v>1</v>
      </c>
      <c r="C3" s="4" t="s">
        <v>2</v>
      </c>
      <c r="D3" s="48"/>
      <c r="E3" s="95" t="s">
        <v>213</v>
      </c>
      <c r="F3" s="49" t="s">
        <v>83</v>
      </c>
    </row>
    <row r="4" spans="1:6" ht="15.75" x14ac:dyDescent="0.25">
      <c r="A4" s="7"/>
      <c r="B4" s="7"/>
      <c r="C4" s="7"/>
      <c r="D4" s="50" t="s">
        <v>4</v>
      </c>
      <c r="E4" s="99"/>
      <c r="F4" s="51"/>
    </row>
    <row r="5" spans="1:6" ht="15.75" x14ac:dyDescent="0.25">
      <c r="A5" s="10"/>
      <c r="B5" s="10"/>
      <c r="C5" s="10"/>
      <c r="D5" s="11"/>
      <c r="E5" s="99"/>
      <c r="F5" s="52"/>
    </row>
    <row r="6" spans="1:6" ht="15.75" x14ac:dyDescent="0.25">
      <c r="A6" s="50">
        <v>1</v>
      </c>
      <c r="B6" s="50">
        <v>2</v>
      </c>
      <c r="C6" s="50">
        <v>3</v>
      </c>
      <c r="D6" s="5">
        <v>4</v>
      </c>
      <c r="E6" s="64">
        <v>5</v>
      </c>
      <c r="F6" s="64">
        <v>7</v>
      </c>
    </row>
    <row r="7" spans="1:6" ht="48" customHeight="1" x14ac:dyDescent="0.25">
      <c r="A7" s="74">
        <v>1</v>
      </c>
      <c r="B7" s="76" t="s">
        <v>142</v>
      </c>
      <c r="C7" s="76" t="s">
        <v>143</v>
      </c>
      <c r="D7" s="74">
        <v>30</v>
      </c>
      <c r="E7" s="42">
        <v>6000</v>
      </c>
      <c r="F7" s="36"/>
    </row>
    <row r="8" spans="1:6" ht="48" customHeight="1" x14ac:dyDescent="0.25">
      <c r="A8" s="74">
        <v>2</v>
      </c>
      <c r="B8" s="76" t="s">
        <v>144</v>
      </c>
      <c r="C8" s="76" t="s">
        <v>145</v>
      </c>
      <c r="D8" s="74">
        <v>7</v>
      </c>
      <c r="E8" s="35">
        <v>20000</v>
      </c>
      <c r="F8" s="74" t="s">
        <v>214</v>
      </c>
    </row>
    <row r="9" spans="1:6" ht="48" customHeight="1" x14ac:dyDescent="0.25">
      <c r="A9" s="74">
        <v>3</v>
      </c>
      <c r="B9" s="76" t="s">
        <v>146</v>
      </c>
      <c r="C9" s="76" t="s">
        <v>147</v>
      </c>
      <c r="D9" s="74">
        <v>30</v>
      </c>
      <c r="E9" s="42">
        <v>5000</v>
      </c>
      <c r="F9" s="36"/>
    </row>
    <row r="10" spans="1:6" ht="48" customHeight="1" x14ac:dyDescent="0.25">
      <c r="A10" s="45"/>
      <c r="B10" s="45"/>
      <c r="C10" s="45"/>
      <c r="D10" s="45"/>
      <c r="E10" s="63">
        <f>SUM(E7:E9)</f>
        <v>31000</v>
      </c>
      <c r="F10" s="45"/>
    </row>
  </sheetData>
  <mergeCells count="6">
    <mergeCell ref="A1:F1"/>
    <mergeCell ref="A3:A5"/>
    <mergeCell ref="B3:B5"/>
    <mergeCell ref="C3:C5"/>
    <mergeCell ref="E3:E5"/>
    <mergeCell ref="F3:F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AA096-1CEA-47EF-B3BB-54F8F5FBC3E6}">
  <dimension ref="A1:F14"/>
  <sheetViews>
    <sheetView workbookViewId="0">
      <selection activeCell="E3" sqref="E3:E5"/>
    </sheetView>
  </sheetViews>
  <sheetFormatPr defaultRowHeight="15" x14ac:dyDescent="0.25"/>
  <cols>
    <col min="1" max="1" width="4.5703125" customWidth="1"/>
    <col min="2" max="2" width="20.5703125" customWidth="1"/>
    <col min="3" max="3" width="16.42578125" customWidth="1"/>
    <col min="5" max="5" width="17.140625" customWidth="1"/>
    <col min="6" max="6" width="18.5703125" customWidth="1"/>
  </cols>
  <sheetData>
    <row r="1" spans="1:6" ht="18" x14ac:dyDescent="0.25">
      <c r="A1" s="26" t="s">
        <v>148</v>
      </c>
      <c r="B1" s="26"/>
      <c r="C1" s="26"/>
      <c r="D1" s="26"/>
      <c r="E1" s="26"/>
      <c r="F1" s="26"/>
    </row>
    <row r="2" spans="1:6" ht="18" x14ac:dyDescent="0.25">
      <c r="A2" s="27"/>
      <c r="B2" s="27"/>
      <c r="C2" s="27"/>
      <c r="D2" s="47"/>
      <c r="E2" s="47"/>
      <c r="F2" s="47"/>
    </row>
    <row r="3" spans="1:6" ht="15.75" x14ac:dyDescent="0.25">
      <c r="A3" s="4" t="s">
        <v>0</v>
      </c>
      <c r="B3" s="4" t="s">
        <v>1</v>
      </c>
      <c r="C3" s="4" t="s">
        <v>2</v>
      </c>
      <c r="D3" s="48"/>
      <c r="E3" s="95" t="s">
        <v>213</v>
      </c>
      <c r="F3" s="6" t="s">
        <v>83</v>
      </c>
    </row>
    <row r="4" spans="1:6" ht="15.75" x14ac:dyDescent="0.25">
      <c r="A4" s="7"/>
      <c r="B4" s="7"/>
      <c r="C4" s="7"/>
      <c r="D4" s="50" t="s">
        <v>4</v>
      </c>
      <c r="E4" s="99"/>
      <c r="F4" s="9"/>
    </row>
    <row r="5" spans="1:6" ht="15.75" x14ac:dyDescent="0.25">
      <c r="A5" s="10"/>
      <c r="B5" s="10"/>
      <c r="C5" s="10"/>
      <c r="D5" s="11"/>
      <c r="E5" s="99"/>
      <c r="F5" s="53"/>
    </row>
    <row r="6" spans="1:6" ht="33" customHeight="1" x14ac:dyDescent="0.25">
      <c r="A6" s="82">
        <v>1</v>
      </c>
      <c r="B6" s="83" t="s">
        <v>149</v>
      </c>
      <c r="C6" s="84" t="s">
        <v>150</v>
      </c>
      <c r="D6" s="85" t="s">
        <v>151</v>
      </c>
      <c r="E6" s="86">
        <v>5000</v>
      </c>
      <c r="F6" s="87"/>
    </row>
    <row r="7" spans="1:6" ht="33" customHeight="1" x14ac:dyDescent="0.25">
      <c r="A7" s="82">
        <v>2</v>
      </c>
      <c r="B7" s="84" t="s">
        <v>76</v>
      </c>
      <c r="C7" s="84" t="s">
        <v>152</v>
      </c>
      <c r="D7" s="85" t="s">
        <v>151</v>
      </c>
      <c r="E7" s="86">
        <v>7000</v>
      </c>
      <c r="F7" s="87"/>
    </row>
    <row r="8" spans="1:6" ht="33" customHeight="1" x14ac:dyDescent="0.25">
      <c r="A8" s="82">
        <v>3</v>
      </c>
      <c r="B8" s="84" t="s">
        <v>38</v>
      </c>
      <c r="C8" s="84" t="s">
        <v>153</v>
      </c>
      <c r="D8" s="85" t="s">
        <v>151</v>
      </c>
      <c r="E8" s="86">
        <v>7000</v>
      </c>
      <c r="F8" s="87"/>
    </row>
    <row r="9" spans="1:6" ht="33" customHeight="1" x14ac:dyDescent="0.25">
      <c r="A9" s="82">
        <v>4</v>
      </c>
      <c r="B9" s="84" t="s">
        <v>154</v>
      </c>
      <c r="C9" s="84" t="s">
        <v>155</v>
      </c>
      <c r="D9" s="85" t="s">
        <v>151</v>
      </c>
      <c r="E9" s="86">
        <v>5000</v>
      </c>
      <c r="F9" s="87"/>
    </row>
    <row r="10" spans="1:6" ht="33" customHeight="1" x14ac:dyDescent="0.25">
      <c r="A10" s="82">
        <v>5</v>
      </c>
      <c r="B10" s="84" t="s">
        <v>156</v>
      </c>
      <c r="C10" s="84" t="s">
        <v>157</v>
      </c>
      <c r="D10" s="85" t="s">
        <v>151</v>
      </c>
      <c r="E10" s="86">
        <v>5000</v>
      </c>
      <c r="F10" s="87"/>
    </row>
    <row r="11" spans="1:6" ht="33" customHeight="1" x14ac:dyDescent="0.25">
      <c r="A11" s="88">
        <v>6</v>
      </c>
      <c r="B11" s="89" t="s">
        <v>158</v>
      </c>
      <c r="C11" s="89" t="s">
        <v>159</v>
      </c>
      <c r="D11" s="85" t="s">
        <v>151</v>
      </c>
      <c r="E11" s="90">
        <v>5000</v>
      </c>
      <c r="F11" s="87"/>
    </row>
    <row r="12" spans="1:6" ht="33" customHeight="1" x14ac:dyDescent="0.25">
      <c r="A12" s="88">
        <v>7</v>
      </c>
      <c r="B12" s="89" t="s">
        <v>160</v>
      </c>
      <c r="C12" s="89" t="s">
        <v>161</v>
      </c>
      <c r="D12" s="85" t="s">
        <v>151</v>
      </c>
      <c r="E12" s="91">
        <v>5000</v>
      </c>
      <c r="F12" s="87"/>
    </row>
    <row r="13" spans="1:6" ht="33" customHeight="1" x14ac:dyDescent="0.25">
      <c r="A13" s="88">
        <v>8</v>
      </c>
      <c r="B13" s="89" t="s">
        <v>162</v>
      </c>
      <c r="C13" s="89" t="s">
        <v>163</v>
      </c>
      <c r="D13" s="85" t="s">
        <v>151</v>
      </c>
      <c r="E13" s="91">
        <v>5000</v>
      </c>
      <c r="F13" s="87"/>
    </row>
    <row r="14" spans="1:6" ht="33" customHeight="1" x14ac:dyDescent="0.25">
      <c r="A14" s="92"/>
      <c r="B14" s="92"/>
      <c r="C14" s="92"/>
      <c r="D14" s="92"/>
      <c r="E14" s="79">
        <f>SUM(E6:E13)</f>
        <v>44000</v>
      </c>
      <c r="F14" s="92"/>
    </row>
  </sheetData>
  <mergeCells count="6">
    <mergeCell ref="F3:F5"/>
    <mergeCell ref="A1:F1"/>
    <mergeCell ref="A3:A5"/>
    <mergeCell ref="B3:B5"/>
    <mergeCell ref="C3:C5"/>
    <mergeCell ref="E3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897C8-1ADA-4B41-BA8D-F2FCAA61ED61}">
  <dimension ref="A1:F17"/>
  <sheetViews>
    <sheetView workbookViewId="0">
      <selection activeCell="E3" sqref="E3:E5"/>
    </sheetView>
  </sheetViews>
  <sheetFormatPr defaultRowHeight="15" x14ac:dyDescent="0.25"/>
  <cols>
    <col min="1" max="1" width="5.85546875" customWidth="1"/>
    <col min="2" max="2" width="21.85546875" customWidth="1"/>
    <col min="3" max="3" width="18.5703125" customWidth="1"/>
    <col min="5" max="5" width="16.5703125" customWidth="1"/>
    <col min="6" max="6" width="19" customWidth="1"/>
  </cols>
  <sheetData>
    <row r="1" spans="1:6" ht="20.25" x14ac:dyDescent="0.25">
      <c r="A1" s="80" t="s">
        <v>164</v>
      </c>
      <c r="B1" s="80"/>
      <c r="C1" s="80"/>
      <c r="D1" s="80"/>
      <c r="E1" s="80"/>
      <c r="F1" s="80"/>
    </row>
    <row r="2" spans="1:6" ht="18" x14ac:dyDescent="0.25">
      <c r="A2" s="27"/>
      <c r="B2" s="27"/>
      <c r="C2" s="27"/>
      <c r="D2" s="47"/>
      <c r="E2" s="47"/>
      <c r="F2" s="47"/>
    </row>
    <row r="3" spans="1:6" x14ac:dyDescent="0.25">
      <c r="A3" s="4" t="s">
        <v>0</v>
      </c>
      <c r="B3" s="93" t="s">
        <v>1</v>
      </c>
      <c r="C3" s="93" t="s">
        <v>2</v>
      </c>
      <c r="D3" s="94"/>
      <c r="E3" s="95" t="s">
        <v>213</v>
      </c>
      <c r="F3" s="96" t="s">
        <v>83</v>
      </c>
    </row>
    <row r="4" spans="1:6" x14ac:dyDescent="0.25">
      <c r="A4" s="7"/>
      <c r="B4" s="97"/>
      <c r="C4" s="97"/>
      <c r="D4" s="98" t="s">
        <v>4</v>
      </c>
      <c r="E4" s="99"/>
      <c r="F4" s="96"/>
    </row>
    <row r="5" spans="1:6" x14ac:dyDescent="0.25">
      <c r="A5" s="10"/>
      <c r="B5" s="100"/>
      <c r="C5" s="100"/>
      <c r="D5" s="101"/>
      <c r="E5" s="99"/>
      <c r="F5" s="96"/>
    </row>
    <row r="6" spans="1:6" x14ac:dyDescent="0.25">
      <c r="A6" s="102">
        <v>1</v>
      </c>
      <c r="B6" s="102">
        <v>2</v>
      </c>
      <c r="C6" s="102">
        <v>3</v>
      </c>
      <c r="D6" s="103">
        <v>4</v>
      </c>
      <c r="E6" s="104">
        <v>5</v>
      </c>
      <c r="F6" s="104">
        <v>7</v>
      </c>
    </row>
    <row r="7" spans="1:6" ht="15.75" x14ac:dyDescent="0.25">
      <c r="A7" s="74">
        <v>1</v>
      </c>
      <c r="B7" s="76" t="s">
        <v>165</v>
      </c>
      <c r="C7" s="76" t="s">
        <v>166</v>
      </c>
      <c r="D7" s="74">
        <v>30</v>
      </c>
      <c r="E7" s="42">
        <v>8000</v>
      </c>
      <c r="F7" s="36"/>
    </row>
    <row r="8" spans="1:6" ht="15.75" x14ac:dyDescent="0.25">
      <c r="A8" s="74">
        <v>2</v>
      </c>
      <c r="B8" s="76" t="s">
        <v>167</v>
      </c>
      <c r="C8" s="76" t="s">
        <v>168</v>
      </c>
      <c r="D8" s="74">
        <v>30</v>
      </c>
      <c r="E8" s="42">
        <v>5000</v>
      </c>
      <c r="F8" s="36"/>
    </row>
    <row r="9" spans="1:6" ht="15.75" x14ac:dyDescent="0.25">
      <c r="A9" s="74">
        <v>3</v>
      </c>
      <c r="B9" s="76" t="s">
        <v>169</v>
      </c>
      <c r="C9" s="76" t="s">
        <v>170</v>
      </c>
      <c r="D9" s="74">
        <v>30</v>
      </c>
      <c r="E9" s="42">
        <v>8000</v>
      </c>
      <c r="F9" s="36"/>
    </row>
    <row r="10" spans="1:6" ht="26.25" customHeight="1" x14ac:dyDescent="0.25">
      <c r="A10" s="74">
        <v>4</v>
      </c>
      <c r="B10" s="76" t="s">
        <v>171</v>
      </c>
      <c r="C10" s="105" t="s">
        <v>172</v>
      </c>
      <c r="D10" s="74">
        <v>30</v>
      </c>
      <c r="E10" s="42">
        <v>6000</v>
      </c>
      <c r="F10" s="36"/>
    </row>
    <row r="11" spans="1:6" ht="16.5" customHeight="1" x14ac:dyDescent="0.25">
      <c r="A11" s="74">
        <v>5</v>
      </c>
      <c r="B11" s="76" t="s">
        <v>173</v>
      </c>
      <c r="C11" s="105" t="s">
        <v>174</v>
      </c>
      <c r="D11" s="74">
        <v>30</v>
      </c>
      <c r="E11" s="42">
        <v>6000</v>
      </c>
      <c r="F11" s="36"/>
    </row>
    <row r="12" spans="1:6" ht="15.75" x14ac:dyDescent="0.25">
      <c r="A12" s="74">
        <v>6</v>
      </c>
      <c r="B12" s="76" t="s">
        <v>175</v>
      </c>
      <c r="C12" s="76" t="s">
        <v>176</v>
      </c>
      <c r="D12" s="74">
        <v>30</v>
      </c>
      <c r="E12" s="42">
        <v>5000</v>
      </c>
      <c r="F12" s="36"/>
    </row>
    <row r="13" spans="1:6" ht="20.25" customHeight="1" x14ac:dyDescent="0.25">
      <c r="A13" s="74">
        <v>7</v>
      </c>
      <c r="B13" s="76" t="s">
        <v>177</v>
      </c>
      <c r="C13" s="105" t="s">
        <v>178</v>
      </c>
      <c r="D13" s="74">
        <v>30</v>
      </c>
      <c r="E13" s="42">
        <v>5000</v>
      </c>
      <c r="F13" s="36"/>
    </row>
    <row r="14" spans="1:6" ht="15.75" x14ac:dyDescent="0.25">
      <c r="A14" s="74">
        <v>8</v>
      </c>
      <c r="B14" s="76" t="s">
        <v>179</v>
      </c>
      <c r="C14" s="76" t="s">
        <v>176</v>
      </c>
      <c r="D14" s="74">
        <v>30</v>
      </c>
      <c r="E14" s="42">
        <v>5000</v>
      </c>
      <c r="F14" s="36"/>
    </row>
    <row r="15" spans="1:6" ht="28.5" customHeight="1" x14ac:dyDescent="0.25">
      <c r="A15" s="74">
        <v>9</v>
      </c>
      <c r="B15" s="76" t="s">
        <v>180</v>
      </c>
      <c r="C15" s="105" t="s">
        <v>181</v>
      </c>
      <c r="D15" s="74">
        <v>30</v>
      </c>
      <c r="E15" s="42">
        <v>5000</v>
      </c>
      <c r="F15" s="36"/>
    </row>
    <row r="16" spans="1:6" ht="27.75" customHeight="1" x14ac:dyDescent="0.25">
      <c r="A16" s="74">
        <v>10</v>
      </c>
      <c r="B16" s="76" t="s">
        <v>182</v>
      </c>
      <c r="C16" s="105" t="s">
        <v>183</v>
      </c>
      <c r="D16" s="74">
        <v>30</v>
      </c>
      <c r="E16" s="42">
        <v>5000</v>
      </c>
      <c r="F16" s="36"/>
    </row>
    <row r="17" spans="1:6" ht="15.75" x14ac:dyDescent="0.25">
      <c r="A17" s="45"/>
      <c r="B17" s="45"/>
      <c r="C17" s="45"/>
      <c r="D17" s="45"/>
      <c r="E17" s="63">
        <f>SUM(E7:E16)</f>
        <v>58000</v>
      </c>
      <c r="F17" s="45"/>
    </row>
  </sheetData>
  <mergeCells count="6">
    <mergeCell ref="A1:F1"/>
    <mergeCell ref="A3:A5"/>
    <mergeCell ref="B3:B5"/>
    <mergeCell ref="C3:C5"/>
    <mergeCell ref="E3:E5"/>
    <mergeCell ref="F3:F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32E18-2159-43F2-95FE-A1A2EC02052C}">
  <dimension ref="A1:F8"/>
  <sheetViews>
    <sheetView workbookViewId="0">
      <selection activeCell="E3" sqref="E3:E5"/>
    </sheetView>
  </sheetViews>
  <sheetFormatPr defaultRowHeight="15" x14ac:dyDescent="0.25"/>
  <cols>
    <col min="1" max="1" width="5.85546875" customWidth="1"/>
    <col min="2" max="2" width="22.5703125" customWidth="1"/>
    <col min="3" max="3" width="24.28515625" customWidth="1"/>
    <col min="5" max="5" width="15.7109375" customWidth="1"/>
    <col min="6" max="6" width="16.7109375" customWidth="1"/>
  </cols>
  <sheetData>
    <row r="1" spans="1:6" ht="20.25" x14ac:dyDescent="0.25">
      <c r="A1" s="80" t="s">
        <v>184</v>
      </c>
      <c r="B1" s="80"/>
      <c r="C1" s="80"/>
      <c r="D1" s="80"/>
      <c r="E1" s="80"/>
      <c r="F1" s="80"/>
    </row>
    <row r="2" spans="1:6" ht="18" x14ac:dyDescent="0.25">
      <c r="A2" s="27"/>
      <c r="B2" s="27"/>
      <c r="C2" s="27"/>
      <c r="D2" s="47"/>
      <c r="E2" s="47"/>
      <c r="F2" s="47"/>
    </row>
    <row r="3" spans="1:6" x14ac:dyDescent="0.25">
      <c r="A3" s="4" t="s">
        <v>0</v>
      </c>
      <c r="B3" s="93" t="s">
        <v>1</v>
      </c>
      <c r="C3" s="93" t="s">
        <v>2</v>
      </c>
      <c r="D3" s="94"/>
      <c r="E3" s="95" t="s">
        <v>213</v>
      </c>
      <c r="F3" s="96" t="s">
        <v>83</v>
      </c>
    </row>
    <row r="4" spans="1:6" x14ac:dyDescent="0.25">
      <c r="A4" s="7"/>
      <c r="B4" s="97"/>
      <c r="C4" s="97"/>
      <c r="D4" s="98" t="s">
        <v>4</v>
      </c>
      <c r="E4" s="99"/>
      <c r="F4" s="96"/>
    </row>
    <row r="5" spans="1:6" x14ac:dyDescent="0.25">
      <c r="A5" s="10"/>
      <c r="B5" s="100"/>
      <c r="C5" s="100"/>
      <c r="D5" s="101"/>
      <c r="E5" s="99"/>
      <c r="F5" s="96"/>
    </row>
    <row r="6" spans="1:6" x14ac:dyDescent="0.25">
      <c r="A6" s="102">
        <v>1</v>
      </c>
      <c r="B6" s="102">
        <v>2</v>
      </c>
      <c r="C6" s="102">
        <v>3</v>
      </c>
      <c r="D6" s="103">
        <v>4</v>
      </c>
      <c r="E6" s="104">
        <v>5</v>
      </c>
      <c r="F6" s="104">
        <v>7</v>
      </c>
    </row>
    <row r="7" spans="1:6" ht="27.75" customHeight="1" x14ac:dyDescent="0.25">
      <c r="A7" s="74">
        <v>1</v>
      </c>
      <c r="B7" s="78" t="s">
        <v>185</v>
      </c>
      <c r="C7" s="74" t="s">
        <v>186</v>
      </c>
      <c r="D7" s="106">
        <v>30</v>
      </c>
      <c r="E7" s="74">
        <v>10000</v>
      </c>
      <c r="F7" s="36"/>
    </row>
    <row r="8" spans="1:6" ht="27.75" customHeight="1" x14ac:dyDescent="0.25">
      <c r="A8" s="45"/>
      <c r="B8" s="45"/>
      <c r="C8" s="45"/>
      <c r="D8" s="45"/>
      <c r="E8" s="107">
        <v>300000</v>
      </c>
      <c r="F8" s="45"/>
    </row>
  </sheetData>
  <mergeCells count="6">
    <mergeCell ref="A1:F1"/>
    <mergeCell ref="A3:A5"/>
    <mergeCell ref="B3:B5"/>
    <mergeCell ref="C3:C5"/>
    <mergeCell ref="E3:E5"/>
    <mergeCell ref="F3:F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51140-4324-4CB0-A055-92C2A267F774}">
  <dimension ref="A1:F9"/>
  <sheetViews>
    <sheetView workbookViewId="0">
      <selection activeCell="A8" sqref="A8"/>
    </sheetView>
  </sheetViews>
  <sheetFormatPr defaultRowHeight="15" x14ac:dyDescent="0.25"/>
  <cols>
    <col min="1" max="1" width="5.140625" customWidth="1"/>
    <col min="2" max="2" width="19.85546875" customWidth="1"/>
    <col min="3" max="3" width="13.5703125" customWidth="1"/>
    <col min="5" max="5" width="16.28515625" customWidth="1"/>
    <col min="6" max="6" width="21.28515625" customWidth="1"/>
  </cols>
  <sheetData>
    <row r="1" spans="1:6" ht="20.25" x14ac:dyDescent="0.25">
      <c r="A1" s="80" t="s">
        <v>187</v>
      </c>
      <c r="B1" s="80"/>
      <c r="C1" s="80"/>
      <c r="D1" s="80"/>
      <c r="E1" s="80"/>
      <c r="F1" s="80"/>
    </row>
    <row r="2" spans="1:6" ht="18" x14ac:dyDescent="0.25">
      <c r="A2" s="27"/>
      <c r="B2" s="27"/>
      <c r="C2" s="27"/>
      <c r="D2" s="47"/>
      <c r="E2" s="47"/>
      <c r="F2" s="47"/>
    </row>
    <row r="3" spans="1:6" ht="15.75" x14ac:dyDescent="0.25">
      <c r="A3" s="4" t="s">
        <v>0</v>
      </c>
      <c r="B3" s="4" t="s">
        <v>1</v>
      </c>
      <c r="C3" s="4" t="s">
        <v>2</v>
      </c>
      <c r="D3" s="48"/>
      <c r="E3" s="95" t="s">
        <v>213</v>
      </c>
      <c r="F3" s="96" t="s">
        <v>191</v>
      </c>
    </row>
    <row r="4" spans="1:6" ht="15.75" x14ac:dyDescent="0.25">
      <c r="A4" s="7"/>
      <c r="B4" s="7"/>
      <c r="C4" s="7"/>
      <c r="D4" s="50" t="s">
        <v>4</v>
      </c>
      <c r="E4" s="99"/>
      <c r="F4" s="96"/>
    </row>
    <row r="5" spans="1:6" ht="15.75" x14ac:dyDescent="0.25">
      <c r="A5" s="10"/>
      <c r="B5" s="10"/>
      <c r="C5" s="10"/>
      <c r="D5" s="11"/>
      <c r="E5" s="99"/>
      <c r="F5" s="96"/>
    </row>
    <row r="6" spans="1:6" x14ac:dyDescent="0.25">
      <c r="A6" s="102">
        <v>1</v>
      </c>
      <c r="B6" s="102">
        <v>2</v>
      </c>
      <c r="C6" s="102">
        <v>3</v>
      </c>
      <c r="D6" s="108">
        <v>4</v>
      </c>
      <c r="E6" s="109">
        <v>5</v>
      </c>
      <c r="F6" s="109">
        <v>7</v>
      </c>
    </row>
    <row r="7" spans="1:6" ht="45" x14ac:dyDescent="0.25">
      <c r="A7" s="74">
        <v>1</v>
      </c>
      <c r="B7" s="76" t="s">
        <v>188</v>
      </c>
      <c r="C7" s="105" t="s">
        <v>189</v>
      </c>
      <c r="D7" s="74">
        <v>30</v>
      </c>
      <c r="E7" s="42">
        <v>13300</v>
      </c>
      <c r="F7" s="36"/>
    </row>
    <row r="8" spans="1:6" ht="30" x14ac:dyDescent="0.25">
      <c r="A8" s="74">
        <v>2</v>
      </c>
      <c r="B8" s="76" t="s">
        <v>190</v>
      </c>
      <c r="C8" s="105" t="s">
        <v>168</v>
      </c>
      <c r="D8" s="74">
        <v>30</v>
      </c>
      <c r="E8" s="42">
        <v>6000</v>
      </c>
      <c r="F8" s="36"/>
    </row>
    <row r="9" spans="1:6" ht="34.5" customHeight="1" x14ac:dyDescent="0.25">
      <c r="A9" s="45"/>
      <c r="B9" s="45"/>
      <c r="C9" s="45"/>
      <c r="D9" s="45"/>
      <c r="E9" s="63">
        <f>SUM(E7:E8)</f>
        <v>19300</v>
      </c>
      <c r="F9" s="45"/>
    </row>
  </sheetData>
  <mergeCells count="6">
    <mergeCell ref="A1:F1"/>
    <mergeCell ref="A3:A5"/>
    <mergeCell ref="B3:B5"/>
    <mergeCell ref="C3:C5"/>
    <mergeCell ref="E3:E5"/>
    <mergeCell ref="F3:F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FECEE-9D1A-442A-AD53-B2F00CD4A298}">
  <dimension ref="A1:F11"/>
  <sheetViews>
    <sheetView workbookViewId="0">
      <selection activeCell="E3" sqref="E3:E5"/>
    </sheetView>
  </sheetViews>
  <sheetFormatPr defaultRowHeight="15" x14ac:dyDescent="0.25"/>
  <cols>
    <col min="1" max="1" width="5.42578125" customWidth="1"/>
    <col min="2" max="2" width="21.85546875" customWidth="1"/>
    <col min="3" max="3" width="21.5703125" customWidth="1"/>
    <col min="5" max="5" width="14.140625" customWidth="1"/>
    <col min="6" max="6" width="16.5703125" customWidth="1"/>
  </cols>
  <sheetData>
    <row r="1" spans="1:6" ht="18" x14ac:dyDescent="0.25">
      <c r="A1" s="26" t="s">
        <v>192</v>
      </c>
      <c r="B1" s="110"/>
      <c r="C1" s="110"/>
      <c r="D1" s="110"/>
      <c r="E1" s="110"/>
      <c r="F1" s="110"/>
    </row>
    <row r="2" spans="1:6" ht="18" x14ac:dyDescent="0.25">
      <c r="A2" s="27" t="s">
        <v>141</v>
      </c>
      <c r="B2" s="27"/>
      <c r="C2" s="27"/>
      <c r="D2" s="47"/>
      <c r="E2" s="47"/>
      <c r="F2" s="47"/>
    </row>
    <row r="3" spans="1:6" ht="15.75" x14ac:dyDescent="0.25">
      <c r="A3" s="4" t="s">
        <v>0</v>
      </c>
      <c r="B3" s="4" t="s">
        <v>1</v>
      </c>
      <c r="C3" s="4" t="s">
        <v>2</v>
      </c>
      <c r="D3" s="48"/>
      <c r="E3" s="95" t="s">
        <v>213</v>
      </c>
      <c r="F3" s="96" t="s">
        <v>83</v>
      </c>
    </row>
    <row r="4" spans="1:6" ht="15.75" x14ac:dyDescent="0.25">
      <c r="A4" s="7"/>
      <c r="B4" s="7"/>
      <c r="C4" s="7"/>
      <c r="D4" s="50" t="s">
        <v>4</v>
      </c>
      <c r="E4" s="99"/>
      <c r="F4" s="96"/>
    </row>
    <row r="5" spans="1:6" ht="15.75" x14ac:dyDescent="0.25">
      <c r="A5" s="10"/>
      <c r="B5" s="10"/>
      <c r="C5" s="10"/>
      <c r="D5" s="11"/>
      <c r="E5" s="99"/>
      <c r="F5" s="96"/>
    </row>
    <row r="6" spans="1:6" x14ac:dyDescent="0.25">
      <c r="A6" s="102">
        <v>1</v>
      </c>
      <c r="B6" s="102">
        <v>2</v>
      </c>
      <c r="C6" s="102">
        <v>3</v>
      </c>
      <c r="D6" s="108">
        <v>4</v>
      </c>
      <c r="E6" s="109">
        <v>5</v>
      </c>
      <c r="F6" s="109">
        <v>7</v>
      </c>
    </row>
    <row r="7" spans="1:6" x14ac:dyDescent="0.25">
      <c r="A7" s="74">
        <v>1</v>
      </c>
      <c r="B7" s="76" t="s">
        <v>194</v>
      </c>
      <c r="C7" s="105" t="s">
        <v>193</v>
      </c>
      <c r="D7" s="111">
        <v>30</v>
      </c>
      <c r="E7" s="112">
        <v>12000</v>
      </c>
      <c r="F7" s="76"/>
    </row>
    <row r="8" spans="1:6" ht="60" x14ac:dyDescent="0.25">
      <c r="A8" s="74">
        <v>2</v>
      </c>
      <c r="B8" s="76" t="s">
        <v>195</v>
      </c>
      <c r="C8" s="105" t="s">
        <v>196</v>
      </c>
      <c r="D8" s="111">
        <v>30</v>
      </c>
      <c r="E8" s="42">
        <v>6500</v>
      </c>
      <c r="F8" s="76"/>
    </row>
    <row r="9" spans="1:6" ht="30" x14ac:dyDescent="0.25">
      <c r="A9" s="74">
        <v>3</v>
      </c>
      <c r="B9" s="76" t="s">
        <v>197</v>
      </c>
      <c r="C9" s="105" t="s">
        <v>196</v>
      </c>
      <c r="D9" s="111">
        <v>30</v>
      </c>
      <c r="E9" s="42">
        <v>15000</v>
      </c>
      <c r="F9" s="76"/>
    </row>
    <row r="10" spans="1:6" ht="45" x14ac:dyDescent="0.25">
      <c r="A10" s="113">
        <v>4</v>
      </c>
      <c r="B10" s="114" t="s">
        <v>198</v>
      </c>
      <c r="C10" s="105" t="s">
        <v>199</v>
      </c>
      <c r="D10" s="111">
        <v>8</v>
      </c>
      <c r="E10" s="42">
        <v>13000</v>
      </c>
      <c r="F10" s="76"/>
    </row>
    <row r="11" spans="1:6" ht="15.75" x14ac:dyDescent="0.25">
      <c r="A11" s="115"/>
      <c r="B11" s="115"/>
      <c r="C11" s="115"/>
      <c r="D11" s="111"/>
      <c r="E11" s="63">
        <f>SUM(E7:E9)</f>
        <v>33500</v>
      </c>
      <c r="F11" s="45"/>
    </row>
  </sheetData>
  <mergeCells count="6">
    <mergeCell ref="A1:F1"/>
    <mergeCell ref="A3:A5"/>
    <mergeCell ref="B3:B5"/>
    <mergeCell ref="C3:C5"/>
    <mergeCell ref="E3:E5"/>
    <mergeCell ref="F3:F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EF7AA-673E-4DCF-9091-A26D506CB6FB}">
  <dimension ref="A1:F9"/>
  <sheetViews>
    <sheetView workbookViewId="0">
      <selection activeCell="E14" sqref="E14"/>
    </sheetView>
  </sheetViews>
  <sheetFormatPr defaultRowHeight="15" x14ac:dyDescent="0.25"/>
  <cols>
    <col min="1" max="1" width="5.42578125" customWidth="1"/>
    <col min="2" max="2" width="18.140625" customWidth="1"/>
    <col min="3" max="3" width="20.140625" customWidth="1"/>
    <col min="5" max="5" width="14" customWidth="1"/>
    <col min="6" max="6" width="25.42578125" customWidth="1"/>
  </cols>
  <sheetData>
    <row r="1" spans="1:6" ht="20.25" x14ac:dyDescent="0.25">
      <c r="A1" s="80" t="s">
        <v>200</v>
      </c>
      <c r="B1" s="80"/>
      <c r="C1" s="80"/>
      <c r="D1" s="80"/>
      <c r="E1" s="80"/>
      <c r="F1" s="80"/>
    </row>
    <row r="2" spans="1:6" ht="18" x14ac:dyDescent="0.25">
      <c r="A2" s="27"/>
      <c r="B2" s="27"/>
      <c r="C2" s="27"/>
      <c r="D2" s="47"/>
      <c r="E2" s="47"/>
      <c r="F2" s="47"/>
    </row>
    <row r="3" spans="1:6" ht="15.75" x14ac:dyDescent="0.25">
      <c r="A3" s="116" t="s">
        <v>0</v>
      </c>
      <c r="B3" s="116" t="s">
        <v>1</v>
      </c>
      <c r="C3" s="116" t="s">
        <v>2</v>
      </c>
      <c r="D3" s="117"/>
      <c r="E3" s="95" t="s">
        <v>213</v>
      </c>
      <c r="F3" s="96" t="s">
        <v>83</v>
      </c>
    </row>
    <row r="4" spans="1:6" ht="15.75" x14ac:dyDescent="0.25">
      <c r="A4" s="116"/>
      <c r="B4" s="116"/>
      <c r="C4" s="116"/>
      <c r="D4" s="54" t="s">
        <v>4</v>
      </c>
      <c r="E4" s="99"/>
      <c r="F4" s="96"/>
    </row>
    <row r="5" spans="1:6" ht="15.75" x14ac:dyDescent="0.25">
      <c r="A5" s="116"/>
      <c r="B5" s="116"/>
      <c r="C5" s="116"/>
      <c r="D5" s="117"/>
      <c r="E5" s="99"/>
      <c r="F5" s="96"/>
    </row>
    <row r="6" spans="1:6" x14ac:dyDescent="0.25">
      <c r="A6" s="108">
        <v>1</v>
      </c>
      <c r="B6" s="108">
        <v>2</v>
      </c>
      <c r="C6" s="108">
        <v>3</v>
      </c>
      <c r="D6" s="108">
        <v>4</v>
      </c>
      <c r="E6" s="109">
        <v>5</v>
      </c>
      <c r="F6" s="109">
        <v>7</v>
      </c>
    </row>
    <row r="7" spans="1:6" ht="30" x14ac:dyDescent="0.25">
      <c r="A7" s="74">
        <v>1</v>
      </c>
      <c r="B7" s="105" t="s">
        <v>271</v>
      </c>
      <c r="C7" s="77" t="s">
        <v>212</v>
      </c>
      <c r="D7" s="74">
        <v>8</v>
      </c>
      <c r="E7" s="118">
        <v>31500</v>
      </c>
      <c r="F7" s="36"/>
    </row>
    <row r="8" spans="1:6" ht="30" x14ac:dyDescent="0.25">
      <c r="A8" s="74">
        <v>2</v>
      </c>
      <c r="B8" s="76" t="s">
        <v>201</v>
      </c>
      <c r="C8" s="77" t="s">
        <v>202</v>
      </c>
      <c r="D8" s="74">
        <v>30</v>
      </c>
      <c r="E8" s="118">
        <v>35000</v>
      </c>
      <c r="F8" s="36"/>
    </row>
    <row r="9" spans="1:6" ht="36" customHeight="1" x14ac:dyDescent="0.25">
      <c r="A9" s="45"/>
      <c r="B9" s="45"/>
      <c r="C9" s="45"/>
      <c r="D9" s="45"/>
      <c r="E9" s="119">
        <f>SUM(E7:E8)</f>
        <v>66500</v>
      </c>
      <c r="F9" s="45"/>
    </row>
  </sheetData>
  <mergeCells count="6">
    <mergeCell ref="A1:F1"/>
    <mergeCell ref="A3:A5"/>
    <mergeCell ref="B3:B5"/>
    <mergeCell ref="C3:C5"/>
    <mergeCell ref="E3:E5"/>
    <mergeCell ref="F3:F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9EFF6-23C3-4514-B30A-92B4744687E1}">
  <dimension ref="A1:F11"/>
  <sheetViews>
    <sheetView tabSelected="1" workbookViewId="0">
      <selection activeCell="E3" sqref="E3:E5"/>
    </sheetView>
  </sheetViews>
  <sheetFormatPr defaultRowHeight="15" x14ac:dyDescent="0.25"/>
  <cols>
    <col min="1" max="1" width="5.85546875" customWidth="1"/>
    <col min="2" max="2" width="21.140625" customWidth="1"/>
    <col min="3" max="3" width="21.85546875" customWidth="1"/>
    <col min="5" max="5" width="16.7109375" customWidth="1"/>
    <col min="6" max="6" width="20" customWidth="1"/>
  </cols>
  <sheetData>
    <row r="1" spans="1:6" ht="20.25" x14ac:dyDescent="0.25">
      <c r="A1" s="120" t="s">
        <v>203</v>
      </c>
      <c r="B1" s="120"/>
      <c r="C1" s="120"/>
      <c r="D1" s="120"/>
      <c r="E1" s="120"/>
      <c r="F1" s="120"/>
    </row>
    <row r="2" spans="1:6" ht="18" x14ac:dyDescent="0.25">
      <c r="A2" s="27"/>
      <c r="B2" s="27"/>
      <c r="C2" s="27"/>
      <c r="D2" s="47"/>
      <c r="E2" s="47"/>
      <c r="F2" s="47"/>
    </row>
    <row r="3" spans="1:6" ht="15.75" x14ac:dyDescent="0.25">
      <c r="A3" s="116" t="s">
        <v>0</v>
      </c>
      <c r="B3" s="116" t="s">
        <v>1</v>
      </c>
      <c r="C3" s="116" t="s">
        <v>2</v>
      </c>
      <c r="D3" s="117"/>
      <c r="E3" s="95" t="s">
        <v>213</v>
      </c>
      <c r="F3" s="96" t="s">
        <v>83</v>
      </c>
    </row>
    <row r="4" spans="1:6" ht="15.75" x14ac:dyDescent="0.25">
      <c r="A4" s="116"/>
      <c r="B4" s="116"/>
      <c r="C4" s="116"/>
      <c r="D4" s="54" t="s">
        <v>4</v>
      </c>
      <c r="E4" s="99"/>
      <c r="F4" s="96"/>
    </row>
    <row r="5" spans="1:6" ht="15.75" x14ac:dyDescent="0.25">
      <c r="A5" s="116"/>
      <c r="B5" s="116"/>
      <c r="C5" s="116"/>
      <c r="D5" s="117"/>
      <c r="E5" s="99"/>
      <c r="F5" s="96"/>
    </row>
    <row r="6" spans="1:6" ht="15.75" x14ac:dyDescent="0.25">
      <c r="A6" s="54">
        <v>1</v>
      </c>
      <c r="B6" s="54">
        <v>2</v>
      </c>
      <c r="C6" s="54">
        <v>3</v>
      </c>
      <c r="D6" s="54">
        <v>4</v>
      </c>
      <c r="E6" s="55">
        <v>5</v>
      </c>
      <c r="F6" s="55">
        <v>7</v>
      </c>
    </row>
    <row r="7" spans="1:6" ht="33.75" customHeight="1" x14ac:dyDescent="0.25">
      <c r="A7" s="74">
        <v>1</v>
      </c>
      <c r="B7" s="105" t="s">
        <v>208</v>
      </c>
      <c r="C7" s="76" t="s">
        <v>204</v>
      </c>
      <c r="D7" s="121" t="s">
        <v>151</v>
      </c>
      <c r="E7" s="122">
        <v>7000</v>
      </c>
      <c r="F7" s="36"/>
    </row>
    <row r="8" spans="1:6" ht="33.75" customHeight="1" x14ac:dyDescent="0.25">
      <c r="A8" s="74">
        <v>2</v>
      </c>
      <c r="B8" s="105" t="s">
        <v>209</v>
      </c>
      <c r="C8" s="76" t="s">
        <v>205</v>
      </c>
      <c r="D8" s="121" t="s">
        <v>151</v>
      </c>
      <c r="E8" s="122">
        <v>10000</v>
      </c>
      <c r="F8" s="36"/>
    </row>
    <row r="9" spans="1:6" ht="33.75" customHeight="1" x14ac:dyDescent="0.25">
      <c r="A9" s="74">
        <v>3</v>
      </c>
      <c r="B9" s="75" t="s">
        <v>210</v>
      </c>
      <c r="C9" s="76" t="s">
        <v>206</v>
      </c>
      <c r="D9" s="121" t="s">
        <v>151</v>
      </c>
      <c r="E9" s="122">
        <v>5000</v>
      </c>
      <c r="F9" s="36"/>
    </row>
    <row r="10" spans="1:6" ht="33.75" customHeight="1" x14ac:dyDescent="0.25">
      <c r="A10" s="74">
        <v>4</v>
      </c>
      <c r="B10" s="105" t="s">
        <v>211</v>
      </c>
      <c r="C10" s="105" t="s">
        <v>207</v>
      </c>
      <c r="D10" s="121" t="s">
        <v>151</v>
      </c>
      <c r="E10" s="122">
        <v>4000</v>
      </c>
      <c r="F10" s="36"/>
    </row>
    <row r="11" spans="1:6" ht="33.75" customHeight="1" x14ac:dyDescent="0.25">
      <c r="A11" s="45"/>
      <c r="B11" s="123"/>
      <c r="C11" s="123"/>
      <c r="D11" s="124"/>
      <c r="E11" s="125">
        <f>SUM(E7:E10)</f>
        <v>26000</v>
      </c>
      <c r="F11" s="45"/>
    </row>
  </sheetData>
  <mergeCells count="6">
    <mergeCell ref="A1:F1"/>
    <mergeCell ref="A3:A5"/>
    <mergeCell ref="B3:B5"/>
    <mergeCell ref="C3:C5"/>
    <mergeCell ref="E3:E5"/>
    <mergeCell ref="F3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SINGAPRNA</vt:lpstr>
      <vt:lpstr>CIAWI</vt:lpstr>
      <vt:lpstr>MANNJAYA</vt:lpstr>
      <vt:lpstr>RAJAPOLAH</vt:lpstr>
      <vt:lpstr>CINEAM</vt:lpstr>
      <vt:lpstr>SKRJ</vt:lpstr>
      <vt:lpstr>KRGNGGL</vt:lpstr>
      <vt:lpstr>BTRKLG</vt:lpstr>
      <vt:lpstr>CPTJH</vt:lpstr>
      <vt:lpstr>CIKATOMAS</vt:lpstr>
      <vt:lpstr>TARAJU</vt:lpstr>
      <vt:lpstr>BJGGMBIR</vt:lpstr>
      <vt:lpstr>PUSPAHIANG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Parkir</dc:creator>
  <cp:lastModifiedBy>Parkir</cp:lastModifiedBy>
  <dcterms:created xsi:type="dcterms:W3CDTF">2026-09-18T00:37:55Z</dcterms:created>
  <dcterms:modified xsi:type="dcterms:W3CDTF">2026-09-18T09:04:23Z</dcterms:modified>
</cp:coreProperties>
</file>